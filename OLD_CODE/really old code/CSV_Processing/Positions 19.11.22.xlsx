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emery\IdeaProjects\SigmaInvestments\CSV_Processing\"/>
    </mc:Choice>
  </mc:AlternateContent>
  <xr:revisionPtr revIDLastSave="0" documentId="13_ncr:1_{6C4E3929-61B1-4C38-80A0-339E90248549}" xr6:coauthVersionLast="47" xr6:coauthVersionMax="47" xr10:uidLastSave="{00000000-0000-0000-0000-000000000000}"/>
  <bookViews>
    <workbookView xWindow="-120" yWindow="-120" windowWidth="29040" windowHeight="15720" xr2:uid="{DD8CFB61-9BDC-AF4E-8482-C083F8613853}"/>
  </bookViews>
  <sheets>
    <sheet name="Portfolio" sheetId="2"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6" i="2" l="1" a="1"/>
  <c r="AC6" i="2" s="1"/>
  <c r="AC7" i="2" a="1"/>
  <c r="AC7" i="2" s="1"/>
  <c r="AC8" i="2" a="1"/>
  <c r="AC8" i="2" s="1"/>
  <c r="AC9" i="2" a="1"/>
  <c r="AC9" i="2"/>
  <c r="AC10" i="2" a="1"/>
  <c r="AC10" i="2" s="1"/>
  <c r="AC11" i="2" a="1"/>
  <c r="AC11" i="2" s="1"/>
  <c r="AC12" i="2" a="1"/>
  <c r="AC12" i="2" s="1"/>
  <c r="AC13" i="2" a="1"/>
  <c r="AC13" i="2" s="1"/>
  <c r="AC14" i="2" a="1"/>
  <c r="AC14" i="2" s="1"/>
  <c r="AC15" i="2" a="1"/>
  <c r="AC15" i="2" s="1"/>
  <c r="AC16" i="2" a="1"/>
  <c r="AC16" i="2" s="1"/>
  <c r="AC17" i="2" a="1"/>
  <c r="AC17" i="2" s="1"/>
  <c r="AC18" i="2" a="1"/>
  <c r="AC18" i="2" s="1"/>
  <c r="AC19" i="2" a="1"/>
  <c r="AC19" i="2" s="1"/>
  <c r="AC20" i="2" a="1"/>
  <c r="AC20" i="2" s="1"/>
  <c r="AC21" i="2" a="1"/>
  <c r="AC21" i="2" s="1"/>
  <c r="AC22" i="2" a="1"/>
  <c r="AC22" i="2" s="1"/>
  <c r="AC23" i="2" a="1"/>
  <c r="AC23" i="2" s="1"/>
  <c r="AC24" i="2" a="1"/>
  <c r="AC24" i="2" s="1"/>
  <c r="AC25" i="2" a="1"/>
  <c r="AC25" i="2" s="1"/>
  <c r="AC26" i="2" a="1"/>
  <c r="AC26" i="2" s="1"/>
  <c r="AC27" i="2" a="1"/>
  <c r="AC27" i="2" s="1"/>
  <c r="AC28" i="2" a="1"/>
  <c r="AC28" i="2"/>
  <c r="AC29" i="2" a="1"/>
  <c r="AC29" i="2" s="1"/>
  <c r="AC30" i="2" a="1"/>
  <c r="AC30" i="2" s="1"/>
  <c r="AC31" i="2" a="1"/>
  <c r="AC31" i="2" s="1"/>
  <c r="AC32" i="2" a="1"/>
  <c r="AC32" i="2" s="1"/>
  <c r="AC33" i="2" a="1"/>
  <c r="AC33" i="2" s="1"/>
  <c r="AC34" i="2" a="1"/>
  <c r="AC34" i="2"/>
  <c r="AC35" i="2" a="1"/>
  <c r="AC35" i="2" s="1"/>
  <c r="AC36" i="2" a="1"/>
  <c r="AC36" i="2" s="1"/>
  <c r="AC37" i="2" a="1"/>
  <c r="AC37" i="2" s="1"/>
  <c r="AC38" i="2" a="1"/>
  <c r="AC38" i="2" s="1"/>
  <c r="AC39" i="2" a="1"/>
  <c r="AC39" i="2" s="1"/>
  <c r="AC40" i="2" a="1"/>
  <c r="AC40" i="2" s="1"/>
  <c r="AC41" i="2" a="1"/>
  <c r="AC41" i="2" s="1"/>
  <c r="AC42" i="2" a="1"/>
  <c r="AC42" i="2" s="1"/>
  <c r="AC43" i="2" a="1"/>
  <c r="AC43" i="2" s="1"/>
  <c r="AC44" i="2" a="1"/>
  <c r="AC44" i="2" s="1"/>
  <c r="AC45" i="2" a="1"/>
  <c r="AC45" i="2" s="1"/>
  <c r="AC46" i="2" a="1"/>
  <c r="AC46" i="2" s="1"/>
  <c r="AC47" i="2" a="1"/>
  <c r="AC47" i="2" s="1"/>
  <c r="AC48" i="2" a="1"/>
  <c r="AC48" i="2" s="1"/>
  <c r="AC49" i="2" a="1"/>
  <c r="AC49" i="2" s="1"/>
  <c r="AC50" i="2" a="1"/>
  <c r="AC50" i="2" s="1"/>
  <c r="AB6" i="2" a="1"/>
  <c r="AB6" i="2" s="1"/>
  <c r="AB7" i="2" a="1"/>
  <c r="AB7" i="2" s="1"/>
  <c r="AB8" i="2" a="1"/>
  <c r="AB8" i="2" s="1"/>
  <c r="AB9" i="2" a="1"/>
  <c r="AB9" i="2" s="1"/>
  <c r="AB10" i="2" a="1"/>
  <c r="AB10" i="2" s="1"/>
  <c r="AB11" i="2" a="1"/>
  <c r="AB11" i="2" s="1"/>
  <c r="AB12" i="2" a="1"/>
  <c r="AB12" i="2" s="1"/>
  <c r="AB13" i="2" a="1"/>
  <c r="AB13" i="2" s="1"/>
  <c r="AB14" i="2" a="1"/>
  <c r="AB14" i="2" s="1"/>
  <c r="AB15" i="2" a="1"/>
  <c r="AB15" i="2" s="1"/>
  <c r="AB16" i="2" a="1"/>
  <c r="AB16" i="2" s="1"/>
  <c r="AB17" i="2" a="1"/>
  <c r="AB17" i="2" s="1"/>
  <c r="AB18" i="2" a="1"/>
  <c r="AB18" i="2" s="1"/>
  <c r="AB19" i="2" a="1"/>
  <c r="AB19" i="2" s="1"/>
  <c r="AB20" i="2" a="1"/>
  <c r="AB20" i="2" s="1"/>
  <c r="AB21" i="2" a="1"/>
  <c r="AB21" i="2" s="1"/>
  <c r="AB22" i="2" a="1"/>
  <c r="AB22" i="2" s="1"/>
  <c r="AB23" i="2" a="1"/>
  <c r="AB23" i="2" s="1"/>
  <c r="AB24" i="2" a="1"/>
  <c r="AB24" i="2" s="1"/>
  <c r="AB25" i="2" a="1"/>
  <c r="AB25" i="2" s="1"/>
  <c r="AB26" i="2" a="1"/>
  <c r="AB26" i="2" s="1"/>
  <c r="AB27" i="2" a="1"/>
  <c r="AB27" i="2" s="1"/>
  <c r="AB28" i="2" a="1"/>
  <c r="AB28" i="2" s="1"/>
  <c r="AB29" i="2" a="1"/>
  <c r="AB29" i="2" s="1"/>
  <c r="AB30" i="2" a="1"/>
  <c r="AB30" i="2" s="1"/>
  <c r="AB31" i="2" a="1"/>
  <c r="AB31" i="2" s="1"/>
  <c r="AB32" i="2" a="1"/>
  <c r="AB32" i="2" s="1"/>
  <c r="AB33" i="2" a="1"/>
  <c r="AB33" i="2" s="1"/>
  <c r="AB34" i="2" a="1"/>
  <c r="AB34" i="2" s="1"/>
  <c r="AB35" i="2" a="1"/>
  <c r="AB35" i="2" s="1"/>
  <c r="AB36" i="2" a="1"/>
  <c r="AB36" i="2" s="1"/>
  <c r="AB37" i="2" a="1"/>
  <c r="AB37" i="2" s="1"/>
  <c r="AB38" i="2" a="1"/>
  <c r="AB38" i="2" s="1"/>
  <c r="AB39" i="2" a="1"/>
  <c r="AB39" i="2" s="1"/>
  <c r="AB40" i="2" a="1"/>
  <c r="AB40" i="2" s="1"/>
  <c r="AB41" i="2" a="1"/>
  <c r="AB41" i="2" s="1"/>
  <c r="AB42" i="2" a="1"/>
  <c r="AB42" i="2" s="1"/>
  <c r="AB43" i="2" a="1"/>
  <c r="AB43" i="2" s="1"/>
  <c r="AB44" i="2" a="1"/>
  <c r="AB44" i="2" s="1"/>
  <c r="AB45" i="2" a="1"/>
  <c r="AB45" i="2" s="1"/>
  <c r="AB46" i="2" a="1"/>
  <c r="AB46" i="2" s="1"/>
  <c r="AB47" i="2" a="1"/>
  <c r="AB47" i="2" s="1"/>
  <c r="AB48" i="2" a="1"/>
  <c r="AB48" i="2" s="1"/>
  <c r="AB49" i="2" a="1"/>
  <c r="AB49" i="2" s="1"/>
  <c r="AB50" i="2" a="1"/>
  <c r="AB50" i="2" s="1"/>
  <c r="AC5" i="2" a="1"/>
  <c r="AC5" i="2" s="1"/>
  <c r="AB5" i="2" a="1"/>
  <c r="AB5" i="2" s="1"/>
  <c r="Q1" i="2"/>
  <c r="E5" i="2" a="1"/>
  <c r="E5" i="2" s="1"/>
  <c r="H5" i="2" a="1"/>
  <c r="H5" i="2" s="1"/>
  <c r="M5" i="2"/>
  <c r="P5" i="2"/>
  <c r="V5" i="2" a="1"/>
  <c r="V5" i="2" s="1"/>
  <c r="X5" i="2" a="1"/>
  <c r="X5" i="2" s="1"/>
  <c r="E6" i="2" a="1"/>
  <c r="E6" i="2" s="1"/>
  <c r="H6" i="2" a="1"/>
  <c r="H6" i="2" s="1"/>
  <c r="M6" i="2"/>
  <c r="P6" i="2"/>
  <c r="V6" i="2" a="1"/>
  <c r="V6" i="2" s="1"/>
  <c r="X6" i="2" a="1"/>
  <c r="X6" i="2" s="1"/>
  <c r="E7" i="2" a="1"/>
  <c r="E7" i="2" s="1"/>
  <c r="N7" i="2" s="1"/>
  <c r="H7" i="2" a="1"/>
  <c r="H7" i="2" s="1"/>
  <c r="M7" i="2"/>
  <c r="P7" i="2"/>
  <c r="V7" i="2" a="1"/>
  <c r="V7" i="2" s="1"/>
  <c r="X7" i="2" a="1"/>
  <c r="X7" i="2" s="1"/>
  <c r="E8" i="2" a="1"/>
  <c r="E8" i="2" s="1"/>
  <c r="H8" i="2" a="1"/>
  <c r="H8" i="2" s="1"/>
  <c r="V8" i="2" a="1"/>
  <c r="V8" i="2" s="1"/>
  <c r="X8" i="2" a="1"/>
  <c r="X8" i="2" s="1"/>
  <c r="E9" i="2" a="1"/>
  <c r="E9" i="2" s="1"/>
  <c r="H9" i="2" a="1"/>
  <c r="H9" i="2" s="1"/>
  <c r="L9" i="2"/>
  <c r="M9" i="2" s="1"/>
  <c r="V9" i="2" a="1"/>
  <c r="V9" i="2" s="1"/>
  <c r="X9" i="2" a="1"/>
  <c r="X9" i="2" s="1"/>
  <c r="E11" i="2" a="1"/>
  <c r="E11" i="2" s="1"/>
  <c r="H11" i="2" a="1"/>
  <c r="H11" i="2" s="1"/>
  <c r="M11" i="2"/>
  <c r="P11" i="2"/>
  <c r="V11" i="2" a="1"/>
  <c r="V11" i="2" s="1"/>
  <c r="X11" i="2" a="1"/>
  <c r="X11" i="2" s="1"/>
  <c r="E12" i="2" a="1"/>
  <c r="E12" i="2" s="1"/>
  <c r="H12" i="2" a="1"/>
  <c r="H12" i="2" s="1"/>
  <c r="M12" i="2"/>
  <c r="P12" i="2"/>
  <c r="V12" i="2" a="1"/>
  <c r="V12" i="2" s="1"/>
  <c r="X12" i="2" a="1"/>
  <c r="X12" i="2" s="1"/>
  <c r="E13" i="2" a="1"/>
  <c r="E13" i="2" s="1"/>
  <c r="N13" i="2" s="1"/>
  <c r="H13" i="2" a="1"/>
  <c r="H13" i="2" s="1"/>
  <c r="M13" i="2"/>
  <c r="P13" i="2"/>
  <c r="V13" i="2" a="1"/>
  <c r="V13" i="2" s="1"/>
  <c r="X13" i="2" a="1"/>
  <c r="X13" i="2" s="1"/>
  <c r="E14" i="2" a="1"/>
  <c r="E14" i="2" s="1"/>
  <c r="H14" i="2" a="1"/>
  <c r="H14" i="2" s="1"/>
  <c r="M14" i="2"/>
  <c r="P14" i="2"/>
  <c r="V14" i="2" a="1"/>
  <c r="V14" i="2" s="1"/>
  <c r="X14" i="2" a="1"/>
  <c r="X14" i="2" s="1"/>
  <c r="E15" i="2" a="1"/>
  <c r="E15" i="2" s="1"/>
  <c r="H15" i="2" a="1"/>
  <c r="H15" i="2" s="1"/>
  <c r="M15" i="2"/>
  <c r="P15" i="2"/>
  <c r="V15" i="2" a="1"/>
  <c r="V15" i="2" s="1"/>
  <c r="X15" i="2" a="1"/>
  <c r="X15" i="2" s="1"/>
  <c r="E16" i="2" a="1"/>
  <c r="E16" i="2" s="1"/>
  <c r="H16" i="2" a="1"/>
  <c r="H16" i="2" s="1"/>
  <c r="M16" i="2"/>
  <c r="P16" i="2"/>
  <c r="V16" i="2" a="1"/>
  <c r="V16" i="2" s="1"/>
  <c r="X16" i="2" a="1"/>
  <c r="X16" i="2" s="1"/>
  <c r="E18" i="2" a="1"/>
  <c r="E18" i="2" s="1"/>
  <c r="H18" i="2" a="1"/>
  <c r="H18" i="2" s="1"/>
  <c r="M18" i="2"/>
  <c r="P18" i="2"/>
  <c r="V18" i="2" a="1"/>
  <c r="V18" i="2" s="1"/>
  <c r="X18" i="2" a="1"/>
  <c r="X18" i="2" s="1"/>
  <c r="E19" i="2" a="1"/>
  <c r="E19" i="2" s="1"/>
  <c r="H19" i="2" a="1"/>
  <c r="H19" i="2" s="1"/>
  <c r="L19" i="2"/>
  <c r="M19" i="2" s="1"/>
  <c r="P19" i="2"/>
  <c r="V19" i="2" a="1"/>
  <c r="V19" i="2" s="1"/>
  <c r="X19" i="2" a="1"/>
  <c r="X19" i="2" s="1"/>
  <c r="E20" i="2" a="1"/>
  <c r="E20" i="2" s="1"/>
  <c r="H20" i="2" a="1"/>
  <c r="H20" i="2" s="1"/>
  <c r="M20" i="2"/>
  <c r="P20" i="2"/>
  <c r="V20" i="2" a="1"/>
  <c r="V20" i="2" s="1"/>
  <c r="X20" i="2" a="1"/>
  <c r="X20" i="2" s="1"/>
  <c r="E21" i="2" a="1"/>
  <c r="E21" i="2" s="1"/>
  <c r="H21" i="2" a="1"/>
  <c r="H21" i="2" s="1"/>
  <c r="M21" i="2"/>
  <c r="P21" i="2"/>
  <c r="V21" i="2" a="1"/>
  <c r="V21" i="2" s="1"/>
  <c r="X21" i="2" a="1"/>
  <c r="X21" i="2" s="1"/>
  <c r="E23" i="2" a="1"/>
  <c r="E23" i="2" s="1"/>
  <c r="H23" i="2" a="1"/>
  <c r="H23" i="2" s="1"/>
  <c r="M23" i="2"/>
  <c r="P23" i="2"/>
  <c r="V23" i="2" a="1"/>
  <c r="V23" i="2" s="1"/>
  <c r="X23" i="2" a="1"/>
  <c r="X23" i="2" s="1"/>
  <c r="E24" i="2" a="1"/>
  <c r="E24" i="2" s="1"/>
  <c r="H24" i="2" a="1"/>
  <c r="H24" i="2" s="1"/>
  <c r="L24" i="2"/>
  <c r="M24" i="2" s="1"/>
  <c r="P24" i="2"/>
  <c r="V24" i="2" a="1"/>
  <c r="V24" i="2" s="1"/>
  <c r="X24" i="2" a="1"/>
  <c r="X24" i="2" s="1"/>
  <c r="E25" i="2" a="1"/>
  <c r="E25" i="2" s="1"/>
  <c r="H25" i="2" a="1"/>
  <c r="H25" i="2" s="1"/>
  <c r="M25" i="2"/>
  <c r="P25" i="2"/>
  <c r="V25" i="2" a="1"/>
  <c r="V25" i="2" s="1"/>
  <c r="X25" i="2" a="1"/>
  <c r="X25" i="2" s="1"/>
  <c r="E26" i="2" a="1"/>
  <c r="E26" i="2" s="1"/>
  <c r="H26" i="2" a="1"/>
  <c r="H26" i="2" s="1"/>
  <c r="L26" i="2"/>
  <c r="M26" i="2" s="1"/>
  <c r="P26" i="2"/>
  <c r="V26" i="2" a="1"/>
  <c r="V26" i="2" s="1"/>
  <c r="X26" i="2" a="1"/>
  <c r="X26" i="2" s="1"/>
  <c r="E27" i="2" a="1"/>
  <c r="E27" i="2" s="1"/>
  <c r="N27" i="2" s="1"/>
  <c r="H27" i="2" a="1"/>
  <c r="H27" i="2" s="1"/>
  <c r="M27" i="2"/>
  <c r="V27" i="2" a="1"/>
  <c r="V27" i="2" s="1"/>
  <c r="X27" i="2" a="1"/>
  <c r="X27" i="2" s="1"/>
  <c r="E28" i="2" a="1"/>
  <c r="E28" i="2" s="1"/>
  <c r="H28" i="2" a="1"/>
  <c r="H28" i="2" s="1"/>
  <c r="M28" i="2"/>
  <c r="V28" i="2" a="1"/>
  <c r="V28" i="2" s="1"/>
  <c r="X28" i="2" a="1"/>
  <c r="X28" i="2" s="1"/>
  <c r="E29" i="2" a="1"/>
  <c r="E29" i="2" s="1"/>
  <c r="H29" i="2" a="1"/>
  <c r="H29" i="2" s="1"/>
  <c r="M29" i="2"/>
  <c r="V29" i="2" a="1"/>
  <c r="V29" i="2" s="1"/>
  <c r="X29" i="2" a="1"/>
  <c r="X29" i="2" s="1"/>
  <c r="E30" i="2" a="1"/>
  <c r="E30" i="2" s="1"/>
  <c r="N30" i="2" s="1"/>
  <c r="H30" i="2" a="1"/>
  <c r="H30" i="2" s="1"/>
  <c r="M30" i="2"/>
  <c r="V30" i="2" a="1"/>
  <c r="V30" i="2" s="1"/>
  <c r="X30" i="2" a="1"/>
  <c r="X30" i="2" s="1"/>
  <c r="E31" i="2" a="1"/>
  <c r="E31" i="2" s="1"/>
  <c r="H31" i="2" a="1"/>
  <c r="H31" i="2" s="1"/>
  <c r="M31" i="2"/>
  <c r="P31" i="2"/>
  <c r="V31" i="2" a="1"/>
  <c r="V31" i="2" s="1"/>
  <c r="X31" i="2" a="1"/>
  <c r="X31" i="2" s="1"/>
  <c r="M32" i="2"/>
  <c r="E33" i="2" a="1"/>
  <c r="E33" i="2" s="1"/>
  <c r="H33" i="2" a="1"/>
  <c r="H33" i="2" s="1"/>
  <c r="M33" i="2"/>
  <c r="P33" i="2"/>
  <c r="V33" i="2" a="1"/>
  <c r="V33" i="2" s="1"/>
  <c r="X33" i="2" a="1"/>
  <c r="X33" i="2" s="1"/>
  <c r="E34" i="2" a="1"/>
  <c r="E34" i="2" s="1"/>
  <c r="H34" i="2" a="1"/>
  <c r="H34" i="2" s="1"/>
  <c r="M34" i="2"/>
  <c r="P34" i="2"/>
  <c r="V34" i="2" a="1"/>
  <c r="V34" i="2" s="1"/>
  <c r="X34" i="2" a="1"/>
  <c r="X34" i="2" s="1"/>
  <c r="E35" i="2" a="1"/>
  <c r="E35" i="2" s="1"/>
  <c r="H35" i="2" a="1"/>
  <c r="H35" i="2" s="1"/>
  <c r="M35" i="2"/>
  <c r="V35" i="2" a="1"/>
  <c r="V35" i="2" s="1"/>
  <c r="X35" i="2" a="1"/>
  <c r="X35" i="2" s="1"/>
  <c r="E36" i="2" a="1"/>
  <c r="E36" i="2" s="1"/>
  <c r="H36" i="2" a="1"/>
  <c r="H36" i="2" s="1"/>
  <c r="M36" i="2"/>
  <c r="P36" i="2"/>
  <c r="V36" i="2" a="1"/>
  <c r="V36" i="2" s="1"/>
  <c r="X36" i="2" a="1"/>
  <c r="X36" i="2" s="1"/>
  <c r="E37" i="2" a="1"/>
  <c r="E37" i="2" s="1"/>
  <c r="H37" i="2" a="1"/>
  <c r="H37" i="2" s="1"/>
  <c r="M37" i="2"/>
  <c r="P37" i="2"/>
  <c r="V37" i="2" a="1"/>
  <c r="V37" i="2" s="1"/>
  <c r="X37" i="2" a="1"/>
  <c r="X37" i="2" s="1"/>
  <c r="E38" i="2" a="1"/>
  <c r="E38" i="2" s="1"/>
  <c r="H38" i="2" a="1"/>
  <c r="H38" i="2" s="1"/>
  <c r="M38" i="2"/>
  <c r="P38" i="2"/>
  <c r="V38" i="2" a="1"/>
  <c r="V38" i="2" s="1"/>
  <c r="X38" i="2" a="1"/>
  <c r="X38" i="2" s="1"/>
  <c r="E39" i="2" a="1"/>
  <c r="E39" i="2" s="1"/>
  <c r="H39" i="2" a="1"/>
  <c r="H39" i="2" s="1"/>
  <c r="M39" i="2"/>
  <c r="P39" i="2"/>
  <c r="V39" i="2" a="1"/>
  <c r="V39" i="2" s="1"/>
  <c r="X39" i="2" a="1"/>
  <c r="X39" i="2" s="1"/>
  <c r="E41" i="2" a="1"/>
  <c r="E41" i="2" s="1"/>
  <c r="H41" i="2" a="1"/>
  <c r="H41" i="2" s="1"/>
  <c r="M41" i="2"/>
  <c r="P41" i="2"/>
  <c r="V41" i="2" a="1"/>
  <c r="V41" i="2" s="1"/>
  <c r="X41" i="2" a="1"/>
  <c r="X41" i="2" s="1"/>
  <c r="E42" i="2" a="1"/>
  <c r="E42" i="2" s="1"/>
  <c r="H42" i="2" a="1"/>
  <c r="H42" i="2" s="1"/>
  <c r="K42" i="2"/>
  <c r="M42" i="2" s="1"/>
  <c r="V42" i="2" a="1"/>
  <c r="V42" i="2" s="1"/>
  <c r="X42" i="2" a="1"/>
  <c r="X42" i="2" s="1"/>
  <c r="E43" i="2" a="1"/>
  <c r="E43" i="2" s="1"/>
  <c r="H43" i="2" a="1"/>
  <c r="H43" i="2" s="1"/>
  <c r="L43" i="2"/>
  <c r="M43" i="2" s="1"/>
  <c r="P43" i="2"/>
  <c r="V43" i="2" a="1"/>
  <c r="V43" i="2"/>
  <c r="X43" i="2" a="1"/>
  <c r="X43" i="2" s="1"/>
  <c r="E44" i="2" a="1"/>
  <c r="E44" i="2" s="1"/>
  <c r="F44" i="2"/>
  <c r="H44" i="2" a="1"/>
  <c r="H44" i="2" s="1"/>
  <c r="K44" i="2"/>
  <c r="M44" i="2" s="1"/>
  <c r="P44" i="2"/>
  <c r="V44" i="2" a="1"/>
  <c r="V44" i="2" s="1"/>
  <c r="X44" i="2" a="1"/>
  <c r="X44" i="2" s="1"/>
  <c r="E45" i="2" a="1"/>
  <c r="E45" i="2" s="1"/>
  <c r="H45" i="2" a="1"/>
  <c r="H45" i="2" s="1"/>
  <c r="M45" i="2"/>
  <c r="P45" i="2"/>
  <c r="V45" i="2" a="1"/>
  <c r="V45" i="2" s="1"/>
  <c r="X45" i="2" a="1"/>
  <c r="X45" i="2" s="1"/>
  <c r="E46" i="2" a="1"/>
  <c r="E46" i="2" s="1"/>
  <c r="H46" i="2" a="1"/>
  <c r="H46" i="2" s="1"/>
  <c r="M46" i="2"/>
  <c r="V46" i="2" a="1"/>
  <c r="V46" i="2" s="1"/>
  <c r="E47" i="2" a="1"/>
  <c r="E47" i="2" s="1"/>
  <c r="F47" i="2"/>
  <c r="H47" i="2" a="1"/>
  <c r="H47" i="2" s="1"/>
  <c r="K47" i="2"/>
  <c r="M47" i="2" s="1"/>
  <c r="V47" i="2" a="1"/>
  <c r="V47" i="2" s="1"/>
  <c r="X47" i="2" a="1"/>
  <c r="X47" i="2" s="1"/>
  <c r="E48" i="2" a="1"/>
  <c r="E48" i="2" s="1"/>
  <c r="H48" i="2" a="1"/>
  <c r="H48" i="2" s="1"/>
  <c r="M48" i="2"/>
  <c r="P48" i="2"/>
  <c r="V48" i="2" a="1"/>
  <c r="V48" i="2" s="1"/>
  <c r="X48" i="2" a="1"/>
  <c r="X48" i="2" s="1"/>
  <c r="E49" i="2" a="1"/>
  <c r="E49" i="2" s="1"/>
  <c r="N49" i="2" s="1"/>
  <c r="H49" i="2" a="1"/>
  <c r="H49" i="2" s="1"/>
  <c r="M49" i="2"/>
  <c r="V49" i="2" a="1"/>
  <c r="V49" i="2" s="1"/>
  <c r="X49" i="2" a="1"/>
  <c r="X49" i="2" s="1"/>
  <c r="E50" i="2" a="1"/>
  <c r="E50" i="2" s="1"/>
  <c r="H50" i="2" a="1"/>
  <c r="H50" i="2" s="1"/>
  <c r="M50" i="2"/>
  <c r="P50" i="2"/>
  <c r="V50" i="2" a="1"/>
  <c r="V50" i="2" s="1"/>
  <c r="X50" i="2" a="1"/>
  <c r="X50" i="2" s="1"/>
  <c r="C53" i="2"/>
  <c r="K57" i="2"/>
  <c r="P57" i="2" a="1"/>
  <c r="P57" i="2" s="1"/>
  <c r="R57" i="2" s="1"/>
  <c r="G58" i="2" a="1"/>
  <c r="G58" i="2" s="1"/>
  <c r="I58" i="2" a="1"/>
  <c r="I58" i="2" s="1"/>
  <c r="K58" i="2" s="1"/>
  <c r="P58" i="2" a="1"/>
  <c r="P58" i="2" s="1"/>
  <c r="R58" i="2" s="1"/>
  <c r="G59" i="2" a="1"/>
  <c r="G59" i="2" s="1"/>
  <c r="I59" i="2" a="1"/>
  <c r="I59" i="2" s="1"/>
  <c r="K59" i="2" s="1"/>
  <c r="P59" i="2" a="1"/>
  <c r="P59" i="2" s="1"/>
  <c r="R59" i="2" s="1"/>
  <c r="G60" i="2" a="1"/>
  <c r="G60" i="2" s="1"/>
  <c r="I60" i="2" a="1"/>
  <c r="I60" i="2" s="1"/>
  <c r="K60" i="2" s="1"/>
  <c r="G61" i="2" a="1"/>
  <c r="G61" i="2" s="1"/>
  <c r="I61" i="2" a="1"/>
  <c r="I61" i="2" s="1"/>
  <c r="K61" i="2" s="1"/>
  <c r="G62" i="2" a="1"/>
  <c r="G62" i="2" s="1"/>
  <c r="I62" i="2" a="1"/>
  <c r="I62" i="2" s="1"/>
  <c r="K62" i="2" s="1"/>
  <c r="G63" i="2" a="1"/>
  <c r="G63" i="2" s="1"/>
  <c r="I63" i="2" a="1"/>
  <c r="I63" i="2" s="1"/>
  <c r="K63" i="2" s="1"/>
  <c r="G64" i="2" a="1"/>
  <c r="G64" i="2" s="1"/>
  <c r="I64" i="2" a="1"/>
  <c r="I64" i="2" s="1"/>
  <c r="K64" i="2" s="1"/>
  <c r="G65" i="2" a="1"/>
  <c r="G65" i="2" s="1"/>
  <c r="I65" i="2" a="1"/>
  <c r="I65" i="2" s="1"/>
  <c r="K65" i="2" s="1"/>
  <c r="W5" i="2" l="1"/>
  <c r="N43" i="2"/>
  <c r="W35" i="2"/>
  <c r="W33" i="2"/>
  <c r="N6" i="2"/>
  <c r="G6" i="2"/>
  <c r="N50" i="2"/>
  <c r="G50" i="2"/>
  <c r="G31" i="2"/>
  <c r="N31" i="2"/>
  <c r="G48" i="2"/>
  <c r="N48" i="2"/>
  <c r="W37" i="2"/>
  <c r="N42" i="2"/>
  <c r="G42" i="2"/>
  <c r="I6" i="2"/>
  <c r="O6" i="2" s="1"/>
  <c r="W6" i="2"/>
  <c r="W12" i="2"/>
  <c r="G43" i="2"/>
  <c r="I31" i="2"/>
  <c r="Q31" i="2" s="1"/>
  <c r="W46" i="2"/>
  <c r="W28" i="2"/>
  <c r="W25" i="2"/>
  <c r="W23" i="2"/>
  <c r="W11" i="2"/>
  <c r="W48" i="2"/>
  <c r="I46" i="2"/>
  <c r="N46" i="2"/>
  <c r="G46" i="2"/>
  <c r="N45" i="2"/>
  <c r="G45" i="2"/>
  <c r="I45" i="2"/>
  <c r="I42" i="2"/>
  <c r="W41" i="2"/>
  <c r="W39" i="2"/>
  <c r="W38" i="2"/>
  <c r="I37" i="2"/>
  <c r="N37" i="2"/>
  <c r="G20" i="2"/>
  <c r="I20" i="2"/>
  <c r="N20" i="2"/>
  <c r="I16" i="2"/>
  <c r="N16" i="2"/>
  <c r="G16" i="2"/>
  <c r="W14" i="2"/>
  <c r="W13" i="2"/>
  <c r="W7" i="2"/>
  <c r="I48" i="2"/>
  <c r="W50" i="2"/>
  <c r="I49" i="2"/>
  <c r="W43" i="2"/>
  <c r="W34" i="2"/>
  <c r="I30" i="2"/>
  <c r="I27" i="2"/>
  <c r="I19" i="2"/>
  <c r="G18" i="2"/>
  <c r="I18" i="2"/>
  <c r="N18" i="2"/>
  <c r="G9" i="2"/>
  <c r="I9" i="2"/>
  <c r="N9" i="2"/>
  <c r="G47" i="2"/>
  <c r="N47" i="2"/>
  <c r="I44" i="2"/>
  <c r="W36" i="2"/>
  <c r="W31" i="2"/>
  <c r="W29" i="2"/>
  <c r="I21" i="2"/>
  <c r="N21" i="2"/>
  <c r="G21" i="2"/>
  <c r="W19" i="2"/>
  <c r="W15" i="2"/>
  <c r="N29" i="2"/>
  <c r="G29" i="2"/>
  <c r="I29" i="2"/>
  <c r="G25" i="2"/>
  <c r="I25" i="2"/>
  <c r="N25" i="2"/>
  <c r="W16" i="2"/>
  <c r="N11" i="2"/>
  <c r="G11" i="2"/>
  <c r="I11" i="2"/>
  <c r="W8" i="2"/>
  <c r="I36" i="2"/>
  <c r="N36" i="2"/>
  <c r="G36" i="2"/>
  <c r="W45" i="2"/>
  <c r="W49" i="2"/>
  <c r="W44" i="2"/>
  <c r="W30" i="2"/>
  <c r="G28" i="2"/>
  <c r="I28" i="2"/>
  <c r="N28" i="2"/>
  <c r="W26" i="2"/>
  <c r="I24" i="2"/>
  <c r="G23" i="2"/>
  <c r="I23" i="2"/>
  <c r="N23" i="2"/>
  <c r="W20" i="2"/>
  <c r="W18" i="2"/>
  <c r="I35" i="2"/>
  <c r="N35" i="2"/>
  <c r="G35" i="2"/>
  <c r="W42" i="2"/>
  <c r="I26" i="2"/>
  <c r="N26" i="2"/>
  <c r="G26" i="2"/>
  <c r="W24" i="2"/>
  <c r="I14" i="2"/>
  <c r="N14" i="2"/>
  <c r="G14" i="2"/>
  <c r="G12" i="2"/>
  <c r="I12" i="2"/>
  <c r="N12" i="2"/>
  <c r="W9" i="2"/>
  <c r="N8" i="2"/>
  <c r="I8" i="2"/>
  <c r="G8" i="2"/>
  <c r="N5" i="2"/>
  <c r="G5" i="2"/>
  <c r="I5" i="2"/>
  <c r="W47" i="2"/>
  <c r="I50" i="2"/>
  <c r="I39" i="2"/>
  <c r="N39" i="2"/>
  <c r="G39" i="2"/>
  <c r="N38" i="2"/>
  <c r="G38" i="2"/>
  <c r="I38" i="2"/>
  <c r="I47" i="2"/>
  <c r="G44" i="2"/>
  <c r="N44" i="2"/>
  <c r="G41" i="2"/>
  <c r="I41" i="2"/>
  <c r="N41" i="2"/>
  <c r="G34" i="2"/>
  <c r="I34" i="2"/>
  <c r="N34" i="2"/>
  <c r="N33" i="2"/>
  <c r="G33" i="2"/>
  <c r="I33" i="2"/>
  <c r="W27" i="2"/>
  <c r="W21" i="2"/>
  <c r="G15" i="2"/>
  <c r="I15" i="2"/>
  <c r="N15" i="2"/>
  <c r="M52" i="2"/>
  <c r="I13" i="2"/>
  <c r="I7" i="2"/>
  <c r="G49" i="2"/>
  <c r="I43" i="2"/>
  <c r="G30" i="2"/>
  <c r="G24" i="2"/>
  <c r="G19" i="2"/>
  <c r="N24" i="2"/>
  <c r="N19" i="2"/>
  <c r="G13" i="2"/>
  <c r="G7" i="2"/>
  <c r="Q6" i="2" l="1"/>
  <c r="O31" i="2"/>
  <c r="Q18" i="2"/>
  <c r="O18" i="2"/>
  <c r="O34" i="2"/>
  <c r="Q34" i="2"/>
  <c r="O20" i="2"/>
  <c r="Q20" i="2"/>
  <c r="O45" i="2"/>
  <c r="Q45" i="2"/>
  <c r="Q44" i="2"/>
  <c r="O44" i="2"/>
  <c r="O38" i="2"/>
  <c r="Q38" i="2"/>
  <c r="O25" i="2"/>
  <c r="Q25" i="2"/>
  <c r="O5" i="2"/>
  <c r="Q5" i="2"/>
  <c r="O36" i="2"/>
  <c r="Q36" i="2"/>
  <c r="Q47" i="2"/>
  <c r="O47" i="2"/>
  <c r="Q42" i="2"/>
  <c r="O42" i="2"/>
  <c r="Q12" i="2"/>
  <c r="O12" i="2"/>
  <c r="O48" i="2"/>
  <c r="Q48" i="2"/>
  <c r="Q23" i="2"/>
  <c r="O23" i="2"/>
  <c r="O19" i="2"/>
  <c r="Q19" i="2"/>
  <c r="O41" i="2"/>
  <c r="Q41" i="2"/>
  <c r="O24" i="2"/>
  <c r="Q24" i="2"/>
  <c r="O11" i="2"/>
  <c r="Q11" i="2"/>
  <c r="O21" i="2"/>
  <c r="Q21" i="2"/>
  <c r="O30" i="2"/>
  <c r="Q30" i="2"/>
  <c r="Q37" i="2"/>
  <c r="O37" i="2"/>
  <c r="O15" i="2"/>
  <c r="Q15" i="2"/>
  <c r="O26" i="2"/>
  <c r="Q26" i="2"/>
  <c r="O43" i="2"/>
  <c r="Q43" i="2"/>
  <c r="O29" i="2"/>
  <c r="Q29" i="2"/>
  <c r="O27" i="2"/>
  <c r="Q27" i="2"/>
  <c r="O7" i="2"/>
  <c r="Q7" i="2"/>
  <c r="O33" i="2"/>
  <c r="Q33" i="2"/>
  <c r="O8" i="2"/>
  <c r="Q8" i="2"/>
  <c r="O14" i="2"/>
  <c r="Q14" i="2"/>
  <c r="Q35" i="2"/>
  <c r="O35" i="2"/>
  <c r="Q9" i="2"/>
  <c r="O9" i="2"/>
  <c r="O13" i="2"/>
  <c r="Q13" i="2"/>
  <c r="O39" i="2"/>
  <c r="Q39" i="2"/>
  <c r="R6" i="2"/>
  <c r="S6" i="2"/>
  <c r="O46" i="2"/>
  <c r="Q46" i="2"/>
  <c r="R31" i="2"/>
  <c r="S31" i="2"/>
  <c r="O50" i="2"/>
  <c r="Q50" i="2"/>
  <c r="O28" i="2"/>
  <c r="Q28" i="2"/>
  <c r="O49" i="2"/>
  <c r="Q49" i="2"/>
  <c r="Q16" i="2"/>
  <c r="O16" i="2"/>
  <c r="R9" i="2" l="1"/>
  <c r="S9" i="2"/>
  <c r="R43" i="2"/>
  <c r="S43" i="2"/>
  <c r="S41" i="2"/>
  <c r="R41" i="2"/>
  <c r="R42" i="2"/>
  <c r="S42" i="2"/>
  <c r="R50" i="2"/>
  <c r="S50" i="2"/>
  <c r="R7" i="2"/>
  <c r="S7" i="2"/>
  <c r="S26" i="2"/>
  <c r="R26" i="2"/>
  <c r="R21" i="2"/>
  <c r="S21" i="2"/>
  <c r="R19" i="2"/>
  <c r="S19" i="2"/>
  <c r="S25" i="2"/>
  <c r="R25" i="2"/>
  <c r="R20" i="2"/>
  <c r="S20" i="2"/>
  <c r="R30" i="2"/>
  <c r="S30" i="2"/>
  <c r="R16" i="2"/>
  <c r="S16" i="2"/>
  <c r="R23" i="2"/>
  <c r="S23" i="2"/>
  <c r="R47" i="2"/>
  <c r="S47" i="2"/>
  <c r="R45" i="2"/>
  <c r="S45" i="2"/>
  <c r="R39" i="2"/>
  <c r="S39" i="2"/>
  <c r="R14" i="2"/>
  <c r="S14" i="2"/>
  <c r="S15" i="2"/>
  <c r="R15" i="2"/>
  <c r="R11" i="2"/>
  <c r="S11" i="2"/>
  <c r="R38" i="2"/>
  <c r="S38" i="2"/>
  <c r="S34" i="2"/>
  <c r="R34" i="2"/>
  <c r="S46" i="2"/>
  <c r="R46" i="2"/>
  <c r="R12" i="2"/>
  <c r="S12" i="2"/>
  <c r="R28" i="2"/>
  <c r="S28" i="2"/>
  <c r="R5" i="2"/>
  <c r="E57" i="2"/>
  <c r="S5" i="2"/>
  <c r="R35" i="2"/>
  <c r="S35" i="2"/>
  <c r="R37" i="2"/>
  <c r="S37" i="2"/>
  <c r="R44" i="2"/>
  <c r="S44" i="2"/>
  <c r="R18" i="2"/>
  <c r="S18" i="2"/>
  <c r="R33" i="2"/>
  <c r="S33" i="2"/>
  <c r="R27" i="2"/>
  <c r="S27" i="2"/>
  <c r="R49" i="2"/>
  <c r="S49" i="2"/>
  <c r="R13" i="2"/>
  <c r="S13" i="2"/>
  <c r="R8" i="2"/>
  <c r="S8" i="2"/>
  <c r="R29" i="2"/>
  <c r="S29" i="2"/>
  <c r="R24" i="2"/>
  <c r="S24" i="2"/>
  <c r="R48" i="2"/>
  <c r="S48" i="2"/>
  <c r="R36" i="2"/>
  <c r="S36" i="2"/>
  <c r="S53" i="2" l="1"/>
  <c r="E61" i="2" l="1"/>
  <c r="O52" i="2" l="1"/>
  <c r="E58" i="2" l="1"/>
  <c r="O53" i="2"/>
  <c r="E59" i="2" l="1"/>
  <c r="L60" i="2" l="1"/>
  <c r="E62" i="2"/>
  <c r="L65" i="2"/>
  <c r="L58" i="2"/>
  <c r="L62" i="2"/>
  <c r="L61" i="2"/>
  <c r="L64" i="2"/>
  <c r="L59" i="2"/>
  <c r="L63" i="2"/>
  <c r="Y31" i="2"/>
  <c r="Y6" i="2"/>
  <c r="Y9" i="2"/>
  <c r="Y45" i="2"/>
  <c r="Y14" i="2"/>
  <c r="Y38" i="2"/>
  <c r="Y37" i="2"/>
  <c r="Y18" i="2"/>
  <c r="Y49" i="2"/>
  <c r="Y42" i="2"/>
  <c r="Y15" i="2"/>
  <c r="Y12" i="2"/>
  <c r="Y48" i="2"/>
  <c r="Y36" i="2"/>
  <c r="Y19" i="2"/>
  <c r="Y30" i="2"/>
  <c r="Y5" i="2"/>
  <c r="Y33" i="2"/>
  <c r="Y43" i="2"/>
  <c r="Y26" i="2"/>
  <c r="Y25" i="2"/>
  <c r="Y23" i="2"/>
  <c r="Y34" i="2"/>
  <c r="Y44" i="2"/>
  <c r="Y13" i="2"/>
  <c r="Y29" i="2"/>
  <c r="Y50" i="2"/>
  <c r="Y47" i="2"/>
  <c r="Y28" i="2"/>
  <c r="Y21" i="2"/>
  <c r="Y16" i="2"/>
  <c r="Y39" i="2"/>
  <c r="Y35" i="2"/>
  <c r="Y20" i="2"/>
  <c r="Y11" i="2"/>
  <c r="Y8" i="2"/>
  <c r="Y24" i="2"/>
  <c r="Y41" i="2"/>
  <c r="Y7" i="2"/>
  <c r="Y46" i="2"/>
  <c r="Y27" i="2"/>
  <c r="L66" i="2"/>
  <c r="Y52" i="2"/>
  <c r="Z52" i="2" s="1"/>
  <c r="L57" i="2"/>
  <c r="Z23" i="2" l="1"/>
  <c r="T23" i="2"/>
  <c r="U23" i="2"/>
  <c r="Z41" i="2"/>
  <c r="T41" i="2"/>
  <c r="U41" i="2"/>
  <c r="Z11" i="2"/>
  <c r="T11" i="2"/>
  <c r="U11" i="2"/>
  <c r="Z33" i="2"/>
  <c r="T33" i="2"/>
  <c r="U33" i="2"/>
  <c r="Y53" i="2"/>
  <c r="Z5" i="2"/>
  <c r="T5" i="2"/>
  <c r="U5" i="2"/>
  <c r="Z18" i="2"/>
  <c r="T18" i="2"/>
  <c r="U18" i="2"/>
  <c r="U53" i="2" l="1"/>
  <c r="T53" i="2"/>
  <c r="Z5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K47" authorId="0" shapeId="0" xr:uid="{80171743-8313-8C4B-BECD-4F814CC1D849}">
      <text>
        <r>
          <rPr>
            <b/>
            <sz val="10"/>
            <color rgb="FF000000"/>
            <rFont val="Tahoma"/>
            <family val="2"/>
          </rPr>
          <t>Microsoft Office User:</t>
        </r>
        <r>
          <rPr>
            <sz val="10"/>
            <color rgb="FF000000"/>
            <rFont val="Tahoma"/>
            <family val="2"/>
          </rPr>
          <t xml:space="preserve">
</t>
        </r>
        <r>
          <rPr>
            <sz val="10"/>
            <color rgb="FF000000"/>
            <rFont val="Tahoma"/>
            <family val="2"/>
          </rPr>
          <t>stock split 20/1 on 18/07/22</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4">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9"/>
        </ext>
      </extLst>
    </bk>
    <bk>
      <extLst>
        <ext uri="{3e2802c4-a4d2-4d8b-9148-e3be6c30e623}">
          <xlrd:rvb i="22"/>
        </ext>
      </extLst>
    </bk>
    <bk>
      <extLst>
        <ext uri="{3e2802c4-a4d2-4d8b-9148-e3be6c30e623}">
          <xlrd:rvb i="25"/>
        </ext>
      </extLst>
    </bk>
    <bk>
      <extLst>
        <ext uri="{3e2802c4-a4d2-4d8b-9148-e3be6c30e623}">
          <xlrd:rvb i="28"/>
        </ext>
      </extLst>
    </bk>
    <bk>
      <extLst>
        <ext uri="{3e2802c4-a4d2-4d8b-9148-e3be6c30e623}">
          <xlrd:rvb i="31"/>
        </ext>
      </extLst>
    </bk>
    <bk>
      <extLst>
        <ext uri="{3e2802c4-a4d2-4d8b-9148-e3be6c30e623}">
          <xlrd:rvb i="34"/>
        </ext>
      </extLst>
    </bk>
    <bk>
      <extLst>
        <ext uri="{3e2802c4-a4d2-4d8b-9148-e3be6c30e623}">
          <xlrd:rvb i="37"/>
        </ext>
      </extLst>
    </bk>
    <bk>
      <extLst>
        <ext uri="{3e2802c4-a4d2-4d8b-9148-e3be6c30e623}">
          <xlrd:rvb i="40"/>
        </ext>
      </extLst>
    </bk>
    <bk>
      <extLst>
        <ext uri="{3e2802c4-a4d2-4d8b-9148-e3be6c30e623}">
          <xlrd:rvb i="43"/>
        </ext>
      </extLst>
    </bk>
    <bk>
      <extLst>
        <ext uri="{3e2802c4-a4d2-4d8b-9148-e3be6c30e623}">
          <xlrd:rvb i="46"/>
        </ext>
      </extLst>
    </bk>
    <bk>
      <extLst>
        <ext uri="{3e2802c4-a4d2-4d8b-9148-e3be6c30e623}">
          <xlrd:rvb i="49"/>
        </ext>
      </extLst>
    </bk>
    <bk>
      <extLst>
        <ext uri="{3e2802c4-a4d2-4d8b-9148-e3be6c30e623}">
          <xlrd:rvb i="52"/>
        </ext>
      </extLst>
    </bk>
    <bk>
      <extLst>
        <ext uri="{3e2802c4-a4d2-4d8b-9148-e3be6c30e623}">
          <xlrd:rvb i="55"/>
        </ext>
      </extLst>
    </bk>
    <bk>
      <extLst>
        <ext uri="{3e2802c4-a4d2-4d8b-9148-e3be6c30e623}">
          <xlrd:rvb i="58"/>
        </ext>
      </extLst>
    </bk>
    <bk>
      <extLst>
        <ext uri="{3e2802c4-a4d2-4d8b-9148-e3be6c30e623}">
          <xlrd:rvb i="61"/>
        </ext>
      </extLst>
    </bk>
    <bk>
      <extLst>
        <ext uri="{3e2802c4-a4d2-4d8b-9148-e3be6c30e623}">
          <xlrd:rvb i="64"/>
        </ext>
      </extLst>
    </bk>
    <bk>
      <extLst>
        <ext uri="{3e2802c4-a4d2-4d8b-9148-e3be6c30e623}">
          <xlrd:rvb i="67"/>
        </ext>
      </extLst>
    </bk>
    <bk>
      <extLst>
        <ext uri="{3e2802c4-a4d2-4d8b-9148-e3be6c30e623}">
          <xlrd:rvb i="70"/>
        </ext>
      </extLst>
    </bk>
    <bk>
      <extLst>
        <ext uri="{3e2802c4-a4d2-4d8b-9148-e3be6c30e623}">
          <xlrd:rvb i="73"/>
        </ext>
      </extLst>
    </bk>
    <bk>
      <extLst>
        <ext uri="{3e2802c4-a4d2-4d8b-9148-e3be6c30e623}">
          <xlrd:rvb i="76"/>
        </ext>
      </extLst>
    </bk>
    <bk>
      <extLst>
        <ext uri="{3e2802c4-a4d2-4d8b-9148-e3be6c30e623}">
          <xlrd:rvb i="79"/>
        </ext>
      </extLst>
    </bk>
    <bk>
      <extLst>
        <ext uri="{3e2802c4-a4d2-4d8b-9148-e3be6c30e623}">
          <xlrd:rvb i="82"/>
        </ext>
      </extLst>
    </bk>
    <bk>
      <extLst>
        <ext uri="{3e2802c4-a4d2-4d8b-9148-e3be6c30e623}">
          <xlrd:rvb i="85"/>
        </ext>
      </extLst>
    </bk>
    <bk>
      <extLst>
        <ext uri="{3e2802c4-a4d2-4d8b-9148-e3be6c30e623}">
          <xlrd:rvb i="88"/>
        </ext>
      </extLst>
    </bk>
    <bk>
      <extLst>
        <ext uri="{3e2802c4-a4d2-4d8b-9148-e3be6c30e623}">
          <xlrd:rvb i="91"/>
        </ext>
      </extLst>
    </bk>
    <bk>
      <extLst>
        <ext uri="{3e2802c4-a4d2-4d8b-9148-e3be6c30e623}">
          <xlrd:rvb i="94"/>
        </ext>
      </extLst>
    </bk>
    <bk>
      <extLst>
        <ext uri="{3e2802c4-a4d2-4d8b-9148-e3be6c30e623}">
          <xlrd:rvb i="97"/>
        </ext>
      </extLst>
    </bk>
    <bk>
      <extLst>
        <ext uri="{3e2802c4-a4d2-4d8b-9148-e3be6c30e623}">
          <xlrd:rvb i="100"/>
        </ext>
      </extLst>
    </bk>
    <bk>
      <extLst>
        <ext uri="{3e2802c4-a4d2-4d8b-9148-e3be6c30e623}">
          <xlrd:rvb i="103"/>
        </ext>
      </extLst>
    </bk>
    <bk>
      <extLst>
        <ext uri="{3e2802c4-a4d2-4d8b-9148-e3be6c30e623}">
          <xlrd:rvb i="106"/>
        </ext>
      </extLst>
    </bk>
    <bk>
      <extLst>
        <ext uri="{3e2802c4-a4d2-4d8b-9148-e3be6c30e623}">
          <xlrd:rvb i="109"/>
        </ext>
      </extLst>
    </bk>
    <bk>
      <extLst>
        <ext uri="{3e2802c4-a4d2-4d8b-9148-e3be6c30e623}">
          <xlrd:rvb i="112"/>
        </ext>
      </extLst>
    </bk>
    <bk>
      <extLst>
        <ext uri="{3e2802c4-a4d2-4d8b-9148-e3be6c30e623}">
          <xlrd:rvb i="115"/>
        </ext>
      </extLst>
    </bk>
    <bk>
      <extLst>
        <ext uri="{3e2802c4-a4d2-4d8b-9148-e3be6c30e623}">
          <xlrd:rvb i="118"/>
        </ext>
      </extLst>
    </bk>
    <bk>
      <extLst>
        <ext uri="{3e2802c4-a4d2-4d8b-9148-e3be6c30e623}">
          <xlrd:rvb i="121"/>
        </ext>
      </extLst>
    </bk>
    <bk>
      <extLst>
        <ext uri="{3e2802c4-a4d2-4d8b-9148-e3be6c30e623}">
          <xlrd:rvb i="124"/>
        </ext>
      </extLst>
    </bk>
    <bk>
      <extLst>
        <ext uri="{3e2802c4-a4d2-4d8b-9148-e3be6c30e623}">
          <xlrd:rvb i="127"/>
        </ext>
      </extLst>
    </bk>
    <bk>
      <extLst>
        <ext uri="{3e2802c4-a4d2-4d8b-9148-e3be6c30e623}">
          <xlrd:rvb i="129"/>
        </ext>
      </extLst>
    </bk>
    <bk>
      <extLst>
        <ext uri="{3e2802c4-a4d2-4d8b-9148-e3be6c30e623}">
          <xlrd:rvb i="132"/>
        </ext>
      </extLst>
    </bk>
    <bk>
      <extLst>
        <ext uri="{3e2802c4-a4d2-4d8b-9148-e3be6c30e623}">
          <xlrd:rvb i="134"/>
        </ext>
      </extLst>
    </bk>
    <bk>
      <extLst>
        <ext uri="{3e2802c4-a4d2-4d8b-9148-e3be6c30e623}">
          <xlrd:rvb i="137"/>
        </ext>
      </extLst>
    </bk>
    <bk>
      <extLst>
        <ext uri="{3e2802c4-a4d2-4d8b-9148-e3be6c30e623}">
          <xlrd:rvb i="139"/>
        </ext>
      </extLst>
    </bk>
    <bk>
      <extLst>
        <ext uri="{3e2802c4-a4d2-4d8b-9148-e3be6c30e623}">
          <xlrd:rvb i="141"/>
        </ext>
      </extLst>
    </bk>
    <bk>
      <extLst>
        <ext uri="{3e2802c4-a4d2-4d8b-9148-e3be6c30e623}">
          <xlrd:rvb i="143"/>
        </ext>
      </extLst>
    </bk>
    <bk>
      <extLst>
        <ext uri="{3e2802c4-a4d2-4d8b-9148-e3be6c30e623}">
          <xlrd:rvb i="145"/>
        </ext>
      </extLst>
    </bk>
    <bk>
      <extLst>
        <ext uri="{3e2802c4-a4d2-4d8b-9148-e3be6c30e623}">
          <xlrd:rvb i="147"/>
        </ext>
      </extLst>
    </bk>
    <bk>
      <extLst>
        <ext uri="{3e2802c4-a4d2-4d8b-9148-e3be6c30e623}">
          <xlrd:rvb i="149"/>
        </ext>
      </extLst>
    </bk>
  </futureMetadata>
  <cellMetadata count="1">
    <bk>
      <rc t="1" v="0"/>
    </bk>
  </cellMetadata>
  <valueMetadata count="54">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valueMetadata>
</metadata>
</file>

<file path=xl/sharedStrings.xml><?xml version="1.0" encoding="utf-8"?>
<sst xmlns="http://schemas.openxmlformats.org/spreadsheetml/2006/main" count="76" uniqueCount="66">
  <si>
    <t>Date:</t>
  </si>
  <si>
    <t>Manager:</t>
  </si>
  <si>
    <t>Alexander Auer</t>
  </si>
  <si>
    <t>Company Information</t>
  </si>
  <si>
    <t>Shareprice</t>
  </si>
  <si>
    <t>Equity Holdings</t>
  </si>
  <si>
    <t>Equity Change</t>
  </si>
  <si>
    <t>Measures</t>
  </si>
  <si>
    <t>Sector</t>
  </si>
  <si>
    <t>Company</t>
  </si>
  <si>
    <t>Buying Date</t>
  </si>
  <si>
    <t>Share Price</t>
  </si>
  <si>
    <t>Target Price</t>
  </si>
  <si>
    <t>Deviation from
 Target Price</t>
  </si>
  <si>
    <t>Currency</t>
  </si>
  <si>
    <t>Current in €</t>
  </si>
  <si>
    <t>Last Meeting</t>
  </si>
  <si>
    <t>Initial</t>
  </si>
  <si>
    <t>Shares</t>
  </si>
  <si>
    <t>Initial Value</t>
  </si>
  <si>
    <t>Total Value</t>
  </si>
  <si>
    <t>Total Value in €</t>
  </si>
  <si>
    <t>Total Dividends</t>
  </si>
  <si>
    <t>Last Meeting Change</t>
  </si>
  <si>
    <t>Total Return</t>
  </si>
  <si>
    <t>Value Added</t>
  </si>
  <si>
    <t>Weekly Return per Industry</t>
  </si>
  <si>
    <t>Total Return per Industry</t>
  </si>
  <si>
    <t>Market Cap</t>
  </si>
  <si>
    <t>Market Cap in € (B)</t>
  </si>
  <si>
    <t>P/E ratio</t>
  </si>
  <si>
    <t xml:space="preserve">Weight in Portofolio </t>
  </si>
  <si>
    <t>Weight Industry</t>
  </si>
  <si>
    <t>Optimization Weight (Risk Team)</t>
  </si>
  <si>
    <t>Consumer Goods</t>
  </si>
  <si>
    <t>Financial Services</t>
  </si>
  <si>
    <t>Real Estate</t>
  </si>
  <si>
    <t>NA</t>
  </si>
  <si>
    <t xml:space="preserve">Healthcare </t>
  </si>
  <si>
    <t>Industrials</t>
  </si>
  <si>
    <t>Technology</t>
  </si>
  <si>
    <t>Avg. Initial Invetsment</t>
  </si>
  <si>
    <t>CASH</t>
  </si>
  <si>
    <t>EUR</t>
  </si>
  <si>
    <t>Total</t>
  </si>
  <si>
    <t>Portfolio Elements</t>
  </si>
  <si>
    <t>Currency Exposure</t>
  </si>
  <si>
    <t>Stock Indices</t>
  </si>
  <si>
    <t>Element</t>
  </si>
  <si>
    <t>Value</t>
  </si>
  <si>
    <t>Exchange Rate</t>
  </si>
  <si>
    <t>Current</t>
  </si>
  <si>
    <t>Last Week</t>
  </si>
  <si>
    <t>Change</t>
  </si>
  <si>
    <t>Weight</t>
  </si>
  <si>
    <t>Stock Index</t>
  </si>
  <si>
    <t>% Change (Meeting)</t>
  </si>
  <si>
    <t>Investments</t>
  </si>
  <si>
    <t>EURO</t>
  </si>
  <si>
    <t>Cash</t>
  </si>
  <si>
    <t>Deutsche Borse DAX Index</t>
  </si>
  <si>
    <t>Portfolio Value</t>
  </si>
  <si>
    <t>Shares Outstanding</t>
  </si>
  <si>
    <t>Adjust when buying Tech.</t>
  </si>
  <si>
    <t>Ticker</t>
  </si>
  <si>
    <t>Exchange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</si>
</sst>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3" formatCode="_-* #,##0.00_-;\-* #,##0.00_-;_-* &quot;-&quot;??_-;_-@_-"/>
    <numFmt numFmtId="164" formatCode="dd/mm/yyyy;@"/>
    <numFmt numFmtId="165" formatCode="_-[$€-2]\ * #,##0.00_-;\-[$€-2]\ * #,##0.00_-;_-[$€-2]\ * &quot;-&quot;??_-;_-@_-"/>
    <numFmt numFmtId="166" formatCode="_-* #,##0_-;\-* #,##0_-;_-* &quot;-&quot;??_-;_-@_-"/>
    <numFmt numFmtId="167" formatCode="_([$€-2]\ * #,##0_);_([$€-2]\ * \(#,##0\);_([$€-2]\ * &quot;-&quot;_);_(@_)"/>
    <numFmt numFmtId="168" formatCode="_([$$-409]* #,##0.00_);_([$$-409]* \(#,##0.00\);_([$$-409]* &quot;-&quot;??_);_(@_)"/>
    <numFmt numFmtId="169" formatCode="_-[$$-409]* #,##0.00_ ;_-[$$-409]* \-#,##0.00\ ;_-[$$-409]* &quot;-&quot;??_ ;_-@_ "/>
    <numFmt numFmtId="170" formatCode="_([$$-409]* #,##0_);_([$$-409]* \(#,##0\);_([$$-409]* &quot;-&quot;_);_(@_)"/>
    <numFmt numFmtId="171" formatCode="_([$€-2]\ * #,##0.00_);_([$€-2]\ * \(#,##0.00\);_([$€-2]\ * &quot;-&quot;??_);_(@_)"/>
    <numFmt numFmtId="172" formatCode="_-[$£-809]* #,##0.00_-;\-[$£-809]* #,##0.00_-;_-[$£-809]* &quot;-&quot;??_-;_-@_-"/>
    <numFmt numFmtId="173" formatCode="_([$£-809]* #,##0_);_([$£-809]* \(#,##0\);_([$£-809]* &quot;-&quot;_);_(@_)"/>
    <numFmt numFmtId="174" formatCode="_-[$£-809]* #,##0_-;\-[$£-809]* #,##0_-;_-[$£-809]* &quot;-&quot;_-;_-@_-"/>
    <numFmt numFmtId="175" formatCode="_-&quot;€&quot;* #,##0.00_-;\-&quot;€&quot;* #,##0.00_-;_-&quot;€&quot;* &quot;-&quot;??_-;_-@_-"/>
    <numFmt numFmtId="176" formatCode="_ &quot;€&quot;\ * #,##0.00_ ;_ &quot;€&quot;\ * \-#,##0.00_ ;_ &quot;€&quot;\ * &quot;-&quot;??_ ;_ @_ "/>
    <numFmt numFmtId="177" formatCode="_-[$CAD]\ * #,##0.00_-;\-[$CAD]\ * #,##0.00_-;_-[$CAD]\ * &quot;-&quot;??_-;_-@_-"/>
    <numFmt numFmtId="178" formatCode="_([$HK$-C04]* #,##0_);_([$HK$-C04]* \(#,##0\);_([$HK$-C04]* &quot;-&quot;_);_(@_)"/>
    <numFmt numFmtId="179" formatCode="_-[$$-409]* #,##0_ ;_-[$$-409]* \-#,##0\ ;_-[$$-409]* &quot;-&quot;_ ;_-@_ "/>
    <numFmt numFmtId="180" formatCode="_-[$$-3C09]* #,##0.00_-;\-[$$-3C09]* #,##0.00_-;_-[$$-3C09]* &quot;-&quot;??_-;_-@_-"/>
    <numFmt numFmtId="181" formatCode="_-[$$-3C09]* #,##0_-;\-[$$-3C09]* #,##0_-;_-[$$-3C09]* &quot;-&quot;_-;_-@_-"/>
    <numFmt numFmtId="182" formatCode="0.0%"/>
    <numFmt numFmtId="183" formatCode="_([$$-409]* #,##0.0000_);_([$$-409]* \(#,##0.0000\);_([$$-409]* &quot;-&quot;??_);_(@_)"/>
    <numFmt numFmtId="184" formatCode="_([$£-809]* #,##0.00_);_([$£-809]* \(#,##0.00\);_([$£-809]* &quot;-&quot;??_);_(@_)"/>
    <numFmt numFmtId="185" formatCode="_ * #,##0.00_)\ [$CHF-100C]_ ;_ * \(#,##0.00\)\ [$CHF-100C]_ ;_ * &quot;-&quot;??_)\ [$CHF-100C]_ ;_ @_ "/>
    <numFmt numFmtId="186" formatCode="_-* #,##0.00\ [$kr-43B]_-;\-* #,##0.00\ [$kr-43B]_-;_-* &quot;-&quot;??\ [$kr-43B]_-;_-@_-"/>
    <numFmt numFmtId="187" formatCode="_-* #,##0.00\ [$kr-83B]_-;\-* #,##0.00\ [$kr-83B]_-;_-* &quot;-&quot;??\ [$kr-83B]_-;_-@_-"/>
    <numFmt numFmtId="188" formatCode="_ * #,##0.00_)\ [$kr-438]_ ;_ * \(#,##0.00\)\ [$kr-438]_ ;_ * &quot;-&quot;??_)\ [$kr-438]_ ;_ @_ "/>
  </numFmts>
  <fonts count="18" x14ac:knownFonts="1">
    <font>
      <sz val="12"/>
      <color theme="1"/>
      <name val="Calibri"/>
      <family val="2"/>
      <scheme val="minor"/>
    </font>
    <font>
      <sz val="12"/>
      <color theme="1"/>
      <name val="Calibri"/>
      <family val="2"/>
      <scheme val="minor"/>
    </font>
    <font>
      <b/>
      <sz val="12"/>
      <color theme="0"/>
      <name val="Calibri"/>
      <family val="2"/>
      <scheme val="minor"/>
    </font>
    <font>
      <b/>
      <sz val="12"/>
      <color theme="1"/>
      <name val="Calibri"/>
      <family val="2"/>
      <scheme val="minor"/>
    </font>
    <font>
      <sz val="12"/>
      <color theme="0"/>
      <name val="Calibri"/>
      <family val="2"/>
      <scheme val="minor"/>
    </font>
    <font>
      <sz val="14"/>
      <color theme="1"/>
      <name val="Calibri"/>
      <family val="2"/>
      <scheme val="minor"/>
    </font>
    <font>
      <sz val="16"/>
      <color theme="1"/>
      <name val="Arial"/>
      <family val="2"/>
    </font>
    <font>
      <sz val="24"/>
      <color theme="1"/>
      <name val="Arial"/>
      <family val="2"/>
    </font>
    <font>
      <b/>
      <sz val="16"/>
      <color theme="0"/>
      <name val="Arial"/>
      <family val="2"/>
    </font>
    <font>
      <sz val="12"/>
      <name val="Arial"/>
      <family val="2"/>
    </font>
    <font>
      <sz val="12"/>
      <color theme="1"/>
      <name val="Arial"/>
      <family val="2"/>
    </font>
    <font>
      <b/>
      <sz val="12"/>
      <color theme="1"/>
      <name val="Arial"/>
      <family val="2"/>
    </font>
    <font>
      <b/>
      <sz val="12"/>
      <color theme="0"/>
      <name val="Arial"/>
      <family val="2"/>
    </font>
    <font>
      <sz val="12"/>
      <color theme="0"/>
      <name val="Arial"/>
      <family val="2"/>
    </font>
    <font>
      <sz val="16"/>
      <color theme="0"/>
      <name val="Arial"/>
      <family val="2"/>
    </font>
    <font>
      <sz val="10"/>
      <color theme="1"/>
      <name val="Calibri"/>
      <family val="2"/>
      <scheme val="minor"/>
    </font>
    <font>
      <b/>
      <sz val="10"/>
      <color rgb="FF000000"/>
      <name val="Tahoma"/>
      <family val="2"/>
    </font>
    <font>
      <sz val="10"/>
      <color rgb="FF000000"/>
      <name val="Tahoma"/>
      <family val="2"/>
    </font>
  </fonts>
  <fills count="9">
    <fill>
      <patternFill patternType="none"/>
    </fill>
    <fill>
      <patternFill patternType="gray125"/>
    </fill>
    <fill>
      <patternFill patternType="solid">
        <fgColor theme="5"/>
      </patternFill>
    </fill>
    <fill>
      <patternFill patternType="solid">
        <fgColor theme="6" tint="0.39997558519241921"/>
        <bgColor indexed="65"/>
      </patternFill>
    </fill>
    <fill>
      <patternFill patternType="solid">
        <fgColor theme="8" tint="0.79998168889431442"/>
        <bgColor indexed="65"/>
      </patternFill>
    </fill>
    <fill>
      <patternFill patternType="solid">
        <fgColor rgb="FF002060"/>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s>
  <borders count="54">
    <border>
      <left/>
      <right/>
      <top/>
      <bottom/>
      <diagonal/>
    </border>
    <border>
      <left/>
      <right/>
      <top/>
      <bottom style="thick">
        <color rgb="FF8C8C8C"/>
      </bottom>
      <diagonal/>
    </border>
    <border>
      <left style="thin">
        <color indexed="64"/>
      </left>
      <right/>
      <top/>
      <bottom/>
      <diagonal/>
    </border>
    <border>
      <left style="thin">
        <color auto="1"/>
      </left>
      <right/>
      <top style="thick">
        <color rgb="FF8C8C8C"/>
      </top>
      <bottom/>
      <diagonal/>
    </border>
    <border>
      <left style="thin">
        <color auto="1"/>
      </left>
      <right style="thin">
        <color auto="1"/>
      </right>
      <top style="thick">
        <color rgb="FF8C8C8C"/>
      </top>
      <bottom/>
      <diagonal/>
    </border>
    <border>
      <left/>
      <right/>
      <top style="thick">
        <color rgb="FF8C8C8C"/>
      </top>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top style="medium">
        <color indexed="64"/>
      </top>
      <bottom/>
      <diagonal/>
    </border>
    <border>
      <left style="thin">
        <color auto="1"/>
      </left>
      <right style="thin">
        <color auto="1"/>
      </right>
      <top style="medium">
        <color indexed="64"/>
      </top>
      <bottom style="thin">
        <color auto="1"/>
      </bottom>
      <diagonal/>
    </border>
    <border>
      <left style="thin">
        <color auto="1"/>
      </left>
      <right style="thin">
        <color auto="1"/>
      </right>
      <top style="medium">
        <color indexed="64"/>
      </top>
      <bottom/>
      <diagonal/>
    </border>
    <border>
      <left style="thin">
        <color theme="1"/>
      </left>
      <right style="thin">
        <color theme="1"/>
      </right>
      <top style="medium">
        <color indexed="64"/>
      </top>
      <bottom style="thin">
        <color theme="1"/>
      </bottom>
      <diagonal/>
    </border>
    <border>
      <left style="thin">
        <color auto="1"/>
      </left>
      <right style="medium">
        <color indexed="64"/>
      </right>
      <top style="medium">
        <color indexed="64"/>
      </top>
      <bottom style="thin">
        <color auto="1"/>
      </bottom>
      <diagonal/>
    </border>
    <border>
      <left style="medium">
        <color indexed="64"/>
      </left>
      <right style="medium">
        <color indexed="64"/>
      </right>
      <top/>
      <bottom/>
      <diagonal/>
    </border>
    <border>
      <left/>
      <right/>
      <top style="thin">
        <color indexed="64"/>
      </top>
      <bottom/>
      <diagonal/>
    </border>
    <border>
      <left style="thin">
        <color indexed="64"/>
      </left>
      <right/>
      <top style="thin">
        <color indexed="64"/>
      </top>
      <bottom/>
      <diagonal/>
    </border>
    <border>
      <left style="thin">
        <color auto="1"/>
      </left>
      <right style="thin">
        <color auto="1"/>
      </right>
      <top style="thin">
        <color auto="1"/>
      </top>
      <bottom style="thin">
        <color auto="1"/>
      </bottom>
      <diagonal/>
    </border>
    <border>
      <left style="thin">
        <color theme="1"/>
      </left>
      <right style="thin">
        <color theme="1"/>
      </right>
      <top style="thin">
        <color theme="1"/>
      </top>
      <bottom style="thin">
        <color theme="1"/>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diagonal/>
    </border>
    <border>
      <left style="medium">
        <color indexed="64"/>
      </left>
      <right style="medium">
        <color indexed="64"/>
      </right>
      <top/>
      <bottom style="medium">
        <color auto="1"/>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thin">
        <color auto="1"/>
      </left>
      <right style="thin">
        <color auto="1"/>
      </right>
      <top style="thin">
        <color auto="1"/>
      </top>
      <bottom style="medium">
        <color indexed="64"/>
      </bottom>
      <diagonal/>
    </border>
    <border>
      <left style="thin">
        <color auto="1"/>
      </left>
      <right style="thin">
        <color auto="1"/>
      </right>
      <top/>
      <bottom style="medium">
        <color indexed="64"/>
      </bottom>
      <diagonal/>
    </border>
    <border>
      <left style="thin">
        <color theme="1"/>
      </left>
      <right style="thin">
        <color theme="1"/>
      </right>
      <top style="thin">
        <color theme="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theme="1"/>
      </left>
      <right style="thin">
        <color theme="1"/>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auto="1"/>
      </right>
      <top style="medium">
        <color indexed="64"/>
      </top>
      <bottom style="medium">
        <color indexed="64"/>
      </bottom>
      <diagonal/>
    </border>
    <border>
      <left style="thin">
        <color theme="1"/>
      </left>
      <right/>
      <top style="thin">
        <color theme="1"/>
      </top>
      <bottom style="thick">
        <color rgb="FF8C8C8C"/>
      </bottom>
      <diagonal/>
    </border>
    <border>
      <left/>
      <right style="thin">
        <color theme="1"/>
      </right>
      <top style="thin">
        <color theme="1"/>
      </top>
      <bottom style="thick">
        <color rgb="FF8C8C8C"/>
      </bottom>
      <diagonal/>
    </border>
    <border>
      <left/>
      <right/>
      <top/>
      <bottom style="thin">
        <color theme="1"/>
      </bottom>
      <diagonal/>
    </border>
    <border>
      <left style="thin">
        <color theme="1"/>
      </left>
      <right style="thin">
        <color theme="1"/>
      </right>
      <top/>
      <bottom style="thin">
        <color theme="1"/>
      </bottom>
      <diagonal/>
    </border>
    <border>
      <left/>
      <right style="thin">
        <color theme="1"/>
      </right>
      <top/>
      <bottom/>
      <diagonal/>
    </border>
    <border>
      <left style="thin">
        <color theme="1"/>
      </left>
      <right style="thin">
        <color theme="1"/>
      </right>
      <top style="thin">
        <color theme="1"/>
      </top>
      <bottom/>
      <diagonal/>
    </border>
    <border>
      <left style="thin">
        <color theme="1"/>
      </left>
      <right style="thin">
        <color indexed="64"/>
      </right>
      <top style="thin">
        <color theme="1"/>
      </top>
      <bottom style="thin">
        <color theme="1"/>
      </bottom>
      <diagonal/>
    </border>
    <border>
      <left style="thin">
        <color theme="1"/>
      </left>
      <right/>
      <top/>
      <bottom/>
      <diagonal/>
    </border>
    <border>
      <left style="thin">
        <color rgb="FFFF0000"/>
      </left>
      <right style="thin">
        <color rgb="FFFF0000"/>
      </right>
      <top style="thin">
        <color rgb="FFFF0000"/>
      </top>
      <bottom style="thin">
        <color rgb="FFFF0000"/>
      </bottom>
      <diagonal/>
    </border>
    <border>
      <left style="thin">
        <color indexed="64"/>
      </left>
      <right style="thin">
        <color indexed="64"/>
      </right>
      <top style="thin">
        <color theme="1"/>
      </top>
      <bottom/>
      <diagonal/>
    </border>
    <border>
      <left style="thin">
        <color theme="1"/>
      </left>
      <right/>
      <top style="thin">
        <color theme="1"/>
      </top>
      <bottom style="thin">
        <color theme="1"/>
      </bottom>
      <diagonal/>
    </border>
    <border>
      <left style="thin">
        <color theme="1"/>
      </left>
      <right style="thin">
        <color theme="1"/>
      </right>
      <top/>
      <bottom/>
      <diagonal/>
    </border>
    <border>
      <left style="thin">
        <color rgb="FFFF0000"/>
      </left>
      <right style="thin">
        <color rgb="FFFF0000"/>
      </right>
      <top style="thin">
        <color rgb="FFFF0000"/>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7">
    <xf numFmtId="0" fontId="0" fillId="0" borderId="0"/>
    <xf numFmtId="43" fontId="1" fillId="0" borderId="0" applyFont="0" applyFill="0" applyBorder="0" applyAlignment="0" applyProtection="0"/>
    <xf numFmtId="175" fontId="1" fillId="0" borderId="0" applyFont="0" applyFill="0" applyBorder="0" applyAlignment="0" applyProtection="0"/>
    <xf numFmtId="9" fontId="1" fillId="0" borderId="0" applyFont="0" applyFill="0" applyBorder="0" applyAlignment="0" applyProtection="0"/>
    <xf numFmtId="0" fontId="4"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cellStyleXfs>
  <cellXfs count="210">
    <xf numFmtId="0" fontId="0" fillId="0" borderId="0" xfId="0"/>
    <xf numFmtId="0" fontId="5" fillId="0" borderId="0" xfId="0" applyFont="1"/>
    <xf numFmtId="0" fontId="0" fillId="0" borderId="0" xfId="0" applyAlignment="1">
      <alignment horizontal="center"/>
    </xf>
    <xf numFmtId="0" fontId="6" fillId="0" borderId="0" xfId="0" applyFont="1" applyAlignment="1">
      <alignment horizontal="right" vertical="center"/>
    </xf>
    <xf numFmtId="14" fontId="6" fillId="0" borderId="0" xfId="0" applyNumberFormat="1" applyFont="1" applyAlignment="1">
      <alignment horizontal="center" vertical="center"/>
    </xf>
    <xf numFmtId="0" fontId="7" fillId="0" borderId="0" xfId="0" applyFont="1" applyAlignment="1">
      <alignment vertical="center"/>
    </xf>
    <xf numFmtId="0" fontId="6" fillId="0" borderId="0" xfId="0" applyFont="1" applyAlignment="1">
      <alignment horizontal="center" vertical="center"/>
    </xf>
    <xf numFmtId="0" fontId="0" fillId="0" borderId="0" xfId="0" applyAlignment="1">
      <alignment horizontal="left" vertical="center"/>
    </xf>
    <xf numFmtId="0" fontId="8" fillId="5" borderId="0" xfId="4" applyFont="1" applyFill="1" applyBorder="1" applyAlignment="1">
      <alignment vertical="center"/>
    </xf>
    <xf numFmtId="0" fontId="8" fillId="5" borderId="1" xfId="4" applyFont="1" applyFill="1" applyBorder="1" applyAlignment="1">
      <alignment vertical="center"/>
    </xf>
    <xf numFmtId="0" fontId="9" fillId="6" borderId="2"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9" fillId="7" borderId="3"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9" fillId="6" borderId="5"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9" fillId="6" borderId="7" xfId="0" applyFont="1" applyFill="1" applyBorder="1" applyAlignment="1">
      <alignment horizontal="center" vertical="center" wrapText="1"/>
    </xf>
    <xf numFmtId="0" fontId="10" fillId="8" borderId="9" xfId="0" applyFont="1" applyFill="1" applyBorder="1" applyAlignment="1">
      <alignment horizontal="center"/>
    </xf>
    <xf numFmtId="164" fontId="10" fillId="8" borderId="10" xfId="0" applyNumberFormat="1" applyFont="1" applyFill="1" applyBorder="1" applyAlignment="1">
      <alignment horizontal="center"/>
    </xf>
    <xf numFmtId="165" fontId="10" fillId="8" borderId="10" xfId="0" applyNumberFormat="1" applyFont="1" applyFill="1" applyBorder="1" applyAlignment="1">
      <alignment horizontal="center" vertical="center"/>
    </xf>
    <xf numFmtId="9" fontId="10" fillId="8" borderId="10" xfId="3" applyFont="1" applyFill="1" applyBorder="1" applyAlignment="1">
      <alignment horizontal="center" vertical="center"/>
    </xf>
    <xf numFmtId="0" fontId="10" fillId="8" borderId="10" xfId="0" applyFont="1" applyFill="1" applyBorder="1" applyAlignment="1">
      <alignment horizontal="center"/>
    </xf>
    <xf numFmtId="165" fontId="10" fillId="8" borderId="10" xfId="0" applyNumberFormat="1" applyFont="1" applyFill="1" applyBorder="1" applyAlignment="1">
      <alignment horizontal="center"/>
    </xf>
    <xf numFmtId="166" fontId="10" fillId="8" borderId="10" xfId="1" applyNumberFormat="1" applyFont="1" applyFill="1" applyBorder="1" applyAlignment="1">
      <alignment horizontal="center"/>
    </xf>
    <xf numFmtId="165" fontId="10" fillId="8" borderId="11" xfId="0" applyNumberFormat="1" applyFont="1" applyFill="1" applyBorder="1" applyAlignment="1">
      <alignment horizontal="center" vertical="center"/>
    </xf>
    <xf numFmtId="165" fontId="10" fillId="8" borderId="9" xfId="0" applyNumberFormat="1" applyFont="1" applyFill="1" applyBorder="1" applyAlignment="1">
      <alignment horizontal="center"/>
    </xf>
    <xf numFmtId="10" fontId="10" fillId="8" borderId="10" xfId="3" applyNumberFormat="1" applyFont="1" applyFill="1" applyBorder="1" applyAlignment="1">
      <alignment horizontal="center"/>
    </xf>
    <xf numFmtId="167" fontId="10" fillId="8" borderId="11" xfId="0" applyNumberFormat="1" applyFont="1" applyFill="1" applyBorder="1" applyAlignment="1">
      <alignment horizontal="center" vertical="center"/>
    </xf>
    <xf numFmtId="2" fontId="10" fillId="8" borderId="13" xfId="3" applyNumberFormat="1" applyFont="1" applyFill="1" applyBorder="1" applyAlignment="1">
      <alignment horizontal="center"/>
    </xf>
    <xf numFmtId="10" fontId="10" fillId="8" borderId="14" xfId="0" applyNumberFormat="1" applyFont="1" applyFill="1" applyBorder="1" applyAlignment="1">
      <alignment horizontal="center" vertical="center"/>
    </xf>
    <xf numFmtId="0" fontId="10" fillId="8" borderId="16" xfId="0" applyFont="1" applyFill="1" applyBorder="1" applyAlignment="1">
      <alignment horizontal="center"/>
    </xf>
    <xf numFmtId="164" fontId="10" fillId="8" borderId="17" xfId="0" applyNumberFormat="1" applyFont="1" applyFill="1" applyBorder="1" applyAlignment="1">
      <alignment horizontal="center"/>
    </xf>
    <xf numFmtId="168" fontId="10" fillId="8" borderId="17" xfId="0" applyNumberFormat="1" applyFont="1" applyFill="1" applyBorder="1" applyAlignment="1">
      <alignment horizontal="center" vertical="center"/>
    </xf>
    <xf numFmtId="9" fontId="10" fillId="8" borderId="17" xfId="3" applyFont="1" applyFill="1" applyBorder="1" applyAlignment="1">
      <alignment horizontal="center" vertical="center"/>
    </xf>
    <xf numFmtId="0" fontId="10" fillId="8" borderId="17" xfId="0" applyFont="1" applyFill="1" applyBorder="1" applyAlignment="1">
      <alignment horizontal="center"/>
    </xf>
    <xf numFmtId="165" fontId="10" fillId="8" borderId="17" xfId="0" applyNumberFormat="1" applyFont="1" applyFill="1" applyBorder="1" applyAlignment="1">
      <alignment horizontal="center"/>
    </xf>
    <xf numFmtId="166" fontId="10" fillId="8" borderId="17" xfId="1" applyNumberFormat="1" applyFont="1" applyFill="1" applyBorder="1" applyAlignment="1">
      <alignment horizontal="center"/>
    </xf>
    <xf numFmtId="165" fontId="10" fillId="8" borderId="18" xfId="0" applyNumberFormat="1" applyFont="1" applyFill="1" applyBorder="1" applyAlignment="1">
      <alignment horizontal="center" vertical="center"/>
    </xf>
    <xf numFmtId="169" fontId="10" fillId="8" borderId="18" xfId="0" applyNumberFormat="1" applyFont="1" applyFill="1" applyBorder="1" applyAlignment="1">
      <alignment horizontal="center" vertical="center"/>
    </xf>
    <xf numFmtId="165" fontId="10" fillId="8" borderId="16" xfId="0" applyNumberFormat="1" applyFont="1" applyFill="1" applyBorder="1" applyAlignment="1">
      <alignment horizontal="center"/>
    </xf>
    <xf numFmtId="10" fontId="10" fillId="8" borderId="17" xfId="3" applyNumberFormat="1" applyFont="1" applyFill="1" applyBorder="1" applyAlignment="1">
      <alignment horizontal="center"/>
    </xf>
    <xf numFmtId="170" fontId="10" fillId="8" borderId="18" xfId="0" applyNumberFormat="1" applyFont="1" applyFill="1" applyBorder="1" applyAlignment="1">
      <alignment horizontal="center" vertical="center"/>
    </xf>
    <xf numFmtId="2" fontId="10" fillId="8" borderId="19" xfId="3" applyNumberFormat="1" applyFont="1" applyFill="1" applyBorder="1" applyAlignment="1">
      <alignment horizontal="center"/>
    </xf>
    <xf numFmtId="10" fontId="10" fillId="8" borderId="20" xfId="0" applyNumberFormat="1" applyFont="1" applyFill="1" applyBorder="1" applyAlignment="1">
      <alignment horizontal="center" vertical="center"/>
    </xf>
    <xf numFmtId="171" fontId="10" fillId="8" borderId="17" xfId="0" applyNumberFormat="1" applyFont="1" applyFill="1" applyBorder="1" applyAlignment="1">
      <alignment horizontal="center" vertical="center"/>
    </xf>
    <xf numFmtId="167" fontId="10" fillId="8" borderId="18" xfId="0" applyNumberFormat="1" applyFont="1" applyFill="1" applyBorder="1" applyAlignment="1">
      <alignment horizontal="center" vertical="center"/>
    </xf>
    <xf numFmtId="10" fontId="10" fillId="8" borderId="21" xfId="0" applyNumberFormat="1" applyFont="1" applyFill="1" applyBorder="1" applyAlignment="1">
      <alignment horizontal="center" vertical="center"/>
    </xf>
    <xf numFmtId="0" fontId="10" fillId="8" borderId="23" xfId="0" applyFont="1" applyFill="1" applyBorder="1" applyAlignment="1">
      <alignment horizontal="center"/>
    </xf>
    <xf numFmtId="164" fontId="10" fillId="8" borderId="24" xfId="0" applyNumberFormat="1" applyFont="1" applyFill="1" applyBorder="1" applyAlignment="1">
      <alignment horizontal="center"/>
    </xf>
    <xf numFmtId="172" fontId="10" fillId="8" borderId="25" xfId="0" applyNumberFormat="1" applyFont="1" applyFill="1" applyBorder="1" applyAlignment="1">
      <alignment horizontal="center" vertical="center"/>
    </xf>
    <xf numFmtId="172" fontId="10" fillId="8" borderId="24" xfId="0" applyNumberFormat="1" applyFont="1" applyFill="1" applyBorder="1" applyAlignment="1">
      <alignment horizontal="center" vertical="center"/>
    </xf>
    <xf numFmtId="9" fontId="10" fillId="8" borderId="24" xfId="3" applyFont="1" applyFill="1" applyBorder="1" applyAlignment="1">
      <alignment horizontal="center" vertical="center"/>
    </xf>
    <xf numFmtId="0" fontId="10" fillId="8" borderId="24" xfId="0" applyFont="1" applyFill="1" applyBorder="1" applyAlignment="1">
      <alignment horizontal="center"/>
    </xf>
    <xf numFmtId="165" fontId="10" fillId="8" borderId="24" xfId="0" applyNumberFormat="1" applyFont="1" applyFill="1" applyBorder="1" applyAlignment="1">
      <alignment horizontal="center"/>
    </xf>
    <xf numFmtId="166" fontId="10" fillId="8" borderId="24" xfId="1" applyNumberFormat="1" applyFont="1" applyFill="1" applyBorder="1" applyAlignment="1">
      <alignment horizontal="center"/>
    </xf>
    <xf numFmtId="165" fontId="10" fillId="8" borderId="26" xfId="0" applyNumberFormat="1" applyFont="1" applyFill="1" applyBorder="1" applyAlignment="1">
      <alignment horizontal="center" vertical="center"/>
    </xf>
    <xf numFmtId="172" fontId="10" fillId="8" borderId="26" xfId="0" applyNumberFormat="1" applyFont="1" applyFill="1" applyBorder="1" applyAlignment="1">
      <alignment horizontal="center" vertical="center"/>
    </xf>
    <xf numFmtId="165" fontId="10" fillId="8" borderId="23" xfId="0" applyNumberFormat="1" applyFont="1" applyFill="1" applyBorder="1" applyAlignment="1">
      <alignment horizontal="center"/>
    </xf>
    <xf numFmtId="10" fontId="10" fillId="8" borderId="24" xfId="3" applyNumberFormat="1" applyFont="1" applyFill="1" applyBorder="1" applyAlignment="1">
      <alignment horizontal="center"/>
    </xf>
    <xf numFmtId="10" fontId="10" fillId="7" borderId="24" xfId="3" applyNumberFormat="1" applyFont="1" applyFill="1" applyBorder="1" applyAlignment="1">
      <alignment horizontal="center"/>
    </xf>
    <xf numFmtId="165" fontId="10" fillId="7" borderId="24" xfId="0" applyNumberFormat="1" applyFont="1" applyFill="1" applyBorder="1" applyAlignment="1">
      <alignment horizontal="center"/>
    </xf>
    <xf numFmtId="170" fontId="10" fillId="8" borderId="26" xfId="0" applyNumberFormat="1" applyFont="1" applyFill="1" applyBorder="1" applyAlignment="1">
      <alignment horizontal="center" vertical="center"/>
    </xf>
    <xf numFmtId="2" fontId="10" fillId="8" borderId="28" xfId="3" applyNumberFormat="1" applyFont="1" applyFill="1" applyBorder="1" applyAlignment="1">
      <alignment horizontal="center"/>
    </xf>
    <xf numFmtId="10" fontId="10" fillId="8" borderId="29" xfId="0" applyNumberFormat="1" applyFont="1" applyFill="1" applyBorder="1" applyAlignment="1">
      <alignment horizontal="center" vertical="center"/>
    </xf>
    <xf numFmtId="10" fontId="10" fillId="0" borderId="0" xfId="3" applyNumberFormat="1" applyFont="1" applyFill="1" applyBorder="1" applyAlignment="1">
      <alignment horizontal="center" vertical="center"/>
    </xf>
    <xf numFmtId="0" fontId="10" fillId="0" borderId="0" xfId="0" applyFont="1" applyAlignment="1">
      <alignment horizontal="center"/>
    </xf>
    <xf numFmtId="164" fontId="10" fillId="0" borderId="0" xfId="0" applyNumberFormat="1" applyFont="1" applyAlignment="1">
      <alignment horizontal="center"/>
    </xf>
    <xf numFmtId="168" fontId="10" fillId="0" borderId="0" xfId="0" applyNumberFormat="1" applyFont="1" applyAlignment="1">
      <alignment horizontal="center" vertical="center"/>
    </xf>
    <xf numFmtId="9" fontId="10" fillId="0" borderId="0" xfId="3" applyFont="1" applyFill="1" applyBorder="1" applyAlignment="1">
      <alignment horizontal="center" vertical="center"/>
    </xf>
    <xf numFmtId="165" fontId="10" fillId="0" borderId="0" xfId="0" applyNumberFormat="1" applyFont="1" applyAlignment="1">
      <alignment horizontal="center"/>
    </xf>
    <xf numFmtId="166" fontId="10" fillId="0" borderId="0" xfId="1" applyNumberFormat="1" applyFont="1" applyFill="1" applyBorder="1" applyAlignment="1">
      <alignment horizontal="center"/>
    </xf>
    <xf numFmtId="165" fontId="10" fillId="0" borderId="0" xfId="0" applyNumberFormat="1" applyFont="1" applyAlignment="1">
      <alignment horizontal="center" vertical="center"/>
    </xf>
    <xf numFmtId="10" fontId="10" fillId="0" borderId="0" xfId="3" applyNumberFormat="1" applyFont="1" applyFill="1" applyBorder="1" applyAlignment="1">
      <alignment horizontal="center"/>
    </xf>
    <xf numFmtId="10" fontId="10" fillId="0" borderId="0" xfId="3" applyNumberFormat="1" applyFont="1" applyFill="1" applyBorder="1" applyAlignment="1">
      <alignment vertical="center"/>
    </xf>
    <xf numFmtId="167" fontId="10" fillId="0" borderId="0" xfId="0" applyNumberFormat="1" applyFont="1" applyAlignment="1">
      <alignment horizontal="center" vertical="center"/>
    </xf>
    <xf numFmtId="2" fontId="10" fillId="0" borderId="0" xfId="3" applyNumberFormat="1" applyFont="1" applyFill="1" applyBorder="1" applyAlignment="1">
      <alignment horizontal="center"/>
    </xf>
    <xf numFmtId="0" fontId="10" fillId="0" borderId="0" xfId="0" applyFont="1" applyAlignment="1">
      <alignment horizontal="center" vertical="center"/>
    </xf>
    <xf numFmtId="10" fontId="10" fillId="0" borderId="0" xfId="0" applyNumberFormat="1" applyFont="1" applyAlignment="1">
      <alignment horizontal="center" vertical="center"/>
    </xf>
    <xf numFmtId="169" fontId="10" fillId="8" borderId="10" xfId="0" applyNumberFormat="1" applyFont="1" applyFill="1" applyBorder="1" applyAlignment="1">
      <alignment horizontal="center" vertical="center"/>
    </xf>
    <xf numFmtId="169" fontId="10" fillId="8" borderId="11" xfId="0" applyNumberFormat="1" applyFont="1" applyFill="1" applyBorder="1" applyAlignment="1">
      <alignment horizontal="center" vertical="center"/>
    </xf>
    <xf numFmtId="170" fontId="10" fillId="8" borderId="11" xfId="0" applyNumberFormat="1" applyFont="1" applyFill="1" applyBorder="1" applyAlignment="1">
      <alignment horizontal="center" vertical="center"/>
    </xf>
    <xf numFmtId="165" fontId="10" fillId="8" borderId="17" xfId="0" applyNumberFormat="1" applyFont="1" applyFill="1" applyBorder="1" applyAlignment="1">
      <alignment horizontal="center" vertical="center"/>
    </xf>
    <xf numFmtId="169" fontId="10" fillId="8" borderId="17" xfId="0" applyNumberFormat="1" applyFont="1" applyFill="1" applyBorder="1" applyAlignment="1">
      <alignment horizontal="center" vertical="center"/>
    </xf>
    <xf numFmtId="172" fontId="10" fillId="8" borderId="18" xfId="0" applyNumberFormat="1" applyFont="1" applyFill="1" applyBorder="1" applyAlignment="1">
      <alignment horizontal="center" vertical="center"/>
    </xf>
    <xf numFmtId="165" fontId="10" fillId="8" borderId="6" xfId="0" applyNumberFormat="1" applyFont="1" applyFill="1" applyBorder="1" applyAlignment="1">
      <alignment horizontal="center" vertical="center"/>
    </xf>
    <xf numFmtId="169" fontId="10" fillId="8" borderId="6" xfId="0" applyNumberFormat="1" applyFont="1" applyFill="1" applyBorder="1" applyAlignment="1">
      <alignment horizontal="center" vertical="center"/>
    </xf>
    <xf numFmtId="173" fontId="10" fillId="8" borderId="18" xfId="0" applyNumberFormat="1" applyFont="1" applyFill="1" applyBorder="1" applyAlignment="1">
      <alignment horizontal="center" vertical="center"/>
    </xf>
    <xf numFmtId="174" fontId="10" fillId="8" borderId="26" xfId="0" applyNumberFormat="1" applyFont="1" applyFill="1" applyBorder="1" applyAlignment="1">
      <alignment horizontal="center" vertical="center"/>
    </xf>
    <xf numFmtId="169" fontId="10" fillId="0" borderId="0" xfId="0" applyNumberFormat="1" applyFont="1" applyAlignment="1">
      <alignment horizontal="center" vertical="center"/>
    </xf>
    <xf numFmtId="170" fontId="10" fillId="0" borderId="0" xfId="0" applyNumberFormat="1" applyFont="1" applyAlignment="1">
      <alignment horizontal="center" vertical="center"/>
    </xf>
    <xf numFmtId="169" fontId="10" fillId="8" borderId="24" xfId="0" applyNumberFormat="1" applyFont="1" applyFill="1" applyBorder="1" applyAlignment="1">
      <alignment horizontal="center" vertical="center"/>
    </xf>
    <xf numFmtId="169" fontId="10" fillId="8" borderId="26" xfId="0" applyNumberFormat="1" applyFont="1" applyFill="1" applyBorder="1" applyAlignment="1">
      <alignment horizontal="center" vertical="center"/>
    </xf>
    <xf numFmtId="169" fontId="10" fillId="8" borderId="17" xfId="2" applyNumberFormat="1" applyFont="1" applyFill="1" applyBorder="1" applyAlignment="1">
      <alignment horizontal="center" vertical="center"/>
    </xf>
    <xf numFmtId="169" fontId="10" fillId="8" borderId="18" xfId="2" applyNumberFormat="1" applyFont="1" applyFill="1" applyBorder="1" applyAlignment="1">
      <alignment horizontal="center" vertical="center"/>
    </xf>
    <xf numFmtId="169" fontId="10" fillId="8" borderId="24" xfId="2" applyNumberFormat="1" applyFont="1" applyFill="1" applyBorder="1" applyAlignment="1">
      <alignment horizontal="center" vertical="center"/>
    </xf>
    <xf numFmtId="176" fontId="10" fillId="8" borderId="10" xfId="0" applyNumberFormat="1" applyFont="1" applyFill="1" applyBorder="1" applyAlignment="1">
      <alignment horizontal="center" vertical="center"/>
    </xf>
    <xf numFmtId="176" fontId="10" fillId="8" borderId="11" xfId="0" applyNumberFormat="1" applyFont="1" applyFill="1" applyBorder="1" applyAlignment="1">
      <alignment horizontal="center" vertical="center"/>
    </xf>
    <xf numFmtId="177" fontId="10" fillId="8" borderId="17" xfId="0" applyNumberFormat="1" applyFont="1" applyFill="1" applyBorder="1" applyAlignment="1">
      <alignment horizontal="center" vertical="center"/>
    </xf>
    <xf numFmtId="177" fontId="10" fillId="8" borderId="18" xfId="0" applyNumberFormat="1" applyFont="1" applyFill="1" applyBorder="1" applyAlignment="1">
      <alignment horizontal="center" vertical="center"/>
    </xf>
    <xf numFmtId="176" fontId="10" fillId="8" borderId="17" xfId="0" applyNumberFormat="1" applyFont="1" applyFill="1" applyBorder="1" applyAlignment="1">
      <alignment horizontal="center" vertical="center"/>
    </xf>
    <xf numFmtId="171" fontId="10" fillId="8" borderId="18" xfId="0" applyNumberFormat="1" applyFont="1" applyFill="1" applyBorder="1" applyAlignment="1">
      <alignment horizontal="center" vertical="center"/>
    </xf>
    <xf numFmtId="178" fontId="10" fillId="8" borderId="18" xfId="0" applyNumberFormat="1" applyFont="1" applyFill="1" applyBorder="1" applyAlignment="1">
      <alignment horizontal="center" vertical="center"/>
    </xf>
    <xf numFmtId="9" fontId="10" fillId="8" borderId="17" xfId="3" applyFont="1" applyFill="1" applyBorder="1" applyAlignment="1">
      <alignment horizontal="center"/>
    </xf>
    <xf numFmtId="179" fontId="10" fillId="8" borderId="18" xfId="0" applyNumberFormat="1" applyFont="1" applyFill="1" applyBorder="1" applyAlignment="1">
      <alignment horizontal="center" vertical="center"/>
    </xf>
    <xf numFmtId="180" fontId="10" fillId="8" borderId="17" xfId="0" applyNumberFormat="1" applyFont="1" applyFill="1" applyBorder="1" applyAlignment="1">
      <alignment horizontal="center" vertical="center"/>
    </xf>
    <xf numFmtId="181" fontId="10" fillId="8" borderId="18" xfId="0" applyNumberFormat="1" applyFont="1" applyFill="1" applyBorder="1" applyAlignment="1">
      <alignment horizontal="center" vertical="center"/>
    </xf>
    <xf numFmtId="180" fontId="10" fillId="8" borderId="24" xfId="0" applyNumberFormat="1" applyFont="1" applyFill="1" applyBorder="1" applyAlignment="1">
      <alignment horizontal="center" vertical="center"/>
    </xf>
    <xf numFmtId="181" fontId="10" fillId="8" borderId="26" xfId="0" applyNumberFormat="1" applyFont="1" applyFill="1" applyBorder="1" applyAlignment="1">
      <alignment horizontal="center" vertical="center"/>
    </xf>
    <xf numFmtId="10" fontId="3" fillId="0" borderId="0" xfId="0" applyNumberFormat="1" applyFont="1" applyAlignment="1">
      <alignment horizontal="center" vertical="center"/>
    </xf>
    <xf numFmtId="166" fontId="10" fillId="0" borderId="0" xfId="1" applyNumberFormat="1" applyFont="1" applyFill="1" applyBorder="1" applyAlignment="1">
      <alignment horizontal="center" vertical="center"/>
    </xf>
    <xf numFmtId="0" fontId="3" fillId="0" borderId="0" xfId="0" applyFont="1"/>
    <xf numFmtId="10" fontId="10" fillId="8" borderId="30" xfId="3" applyNumberFormat="1" applyFont="1" applyFill="1" applyBorder="1" applyAlignment="1">
      <alignment horizontal="center" vertical="center"/>
    </xf>
    <xf numFmtId="0" fontId="10" fillId="8" borderId="31" xfId="0" applyFont="1" applyFill="1" applyBorder="1" applyAlignment="1">
      <alignment horizontal="center"/>
    </xf>
    <xf numFmtId="0" fontId="10" fillId="8" borderId="32" xfId="0" applyFont="1" applyFill="1" applyBorder="1" applyAlignment="1">
      <alignment horizontal="center"/>
    </xf>
    <xf numFmtId="165" fontId="10" fillId="8" borderId="30" xfId="0" applyNumberFormat="1" applyFont="1" applyFill="1" applyBorder="1" applyAlignment="1">
      <alignment horizontal="center"/>
    </xf>
    <xf numFmtId="165" fontId="10" fillId="7" borderId="30" xfId="6" applyNumberFormat="1" applyFont="1" applyFill="1" applyBorder="1" applyAlignment="1">
      <alignment horizontal="center" vertical="center"/>
    </xf>
    <xf numFmtId="165" fontId="10" fillId="8" borderId="31" xfId="0" applyNumberFormat="1" applyFont="1" applyFill="1" applyBorder="1" applyAlignment="1">
      <alignment horizontal="center"/>
    </xf>
    <xf numFmtId="10" fontId="10" fillId="8" borderId="32" xfId="3" applyNumberFormat="1" applyFont="1" applyFill="1" applyBorder="1" applyAlignment="1">
      <alignment horizontal="center"/>
    </xf>
    <xf numFmtId="165" fontId="10" fillId="8" borderId="32" xfId="0" applyNumberFormat="1" applyFont="1" applyFill="1" applyBorder="1" applyAlignment="1">
      <alignment horizontal="center"/>
    </xf>
    <xf numFmtId="10" fontId="3" fillId="8" borderId="32" xfId="0" applyNumberFormat="1" applyFont="1" applyFill="1" applyBorder="1" applyAlignment="1">
      <alignment horizontal="center" vertical="center"/>
    </xf>
    <xf numFmtId="166" fontId="3" fillId="8" borderId="32" xfId="1" applyNumberFormat="1" applyFont="1" applyFill="1" applyBorder="1" applyAlignment="1">
      <alignment horizontal="center" vertical="center"/>
    </xf>
    <xf numFmtId="10" fontId="11" fillId="8" borderId="33" xfId="3" applyNumberFormat="1" applyFont="1" applyFill="1" applyBorder="1" applyAlignment="1">
      <alignment horizontal="center"/>
    </xf>
    <xf numFmtId="10" fontId="10" fillId="8" borderId="34" xfId="3" applyNumberFormat="1" applyFont="1" applyFill="1" applyBorder="1" applyAlignment="1">
      <alignment horizontal="center" vertical="center"/>
    </xf>
    <xf numFmtId="10" fontId="10" fillId="8" borderId="32" xfId="0" applyNumberFormat="1" applyFont="1" applyFill="1" applyBorder="1" applyAlignment="1">
      <alignment horizontal="center" vertical="center"/>
    </xf>
    <xf numFmtId="10" fontId="11" fillId="8" borderId="35" xfId="0" applyNumberFormat="1" applyFont="1" applyFill="1" applyBorder="1" applyAlignment="1">
      <alignment horizontal="center" vertical="center"/>
    </xf>
    <xf numFmtId="10" fontId="12" fillId="5" borderId="36" xfId="3" applyNumberFormat="1" applyFont="1" applyFill="1" applyBorder="1" applyAlignment="1">
      <alignment horizontal="center" vertical="center"/>
    </xf>
    <xf numFmtId="0" fontId="12" fillId="5" borderId="32" xfId="0" applyFont="1" applyFill="1" applyBorder="1" applyAlignment="1">
      <alignment horizontal="center"/>
    </xf>
    <xf numFmtId="0" fontId="12" fillId="5" borderId="34" xfId="0" applyFont="1" applyFill="1" applyBorder="1" applyAlignment="1">
      <alignment horizontal="center"/>
    </xf>
    <xf numFmtId="0" fontId="12" fillId="5" borderId="34" xfId="0" applyFont="1" applyFill="1" applyBorder="1"/>
    <xf numFmtId="0" fontId="12" fillId="5" borderId="31" xfId="0" applyFont="1" applyFill="1" applyBorder="1"/>
    <xf numFmtId="0" fontId="12" fillId="5" borderId="31" xfId="0" applyFont="1" applyFill="1" applyBorder="1" applyAlignment="1">
      <alignment horizontal="center"/>
    </xf>
    <xf numFmtId="0" fontId="12" fillId="5" borderId="32" xfId="0" applyFont="1" applyFill="1" applyBorder="1"/>
    <xf numFmtId="165" fontId="12" fillId="5" borderId="37" xfId="0" applyNumberFormat="1" applyFont="1" applyFill="1" applyBorder="1" applyAlignment="1">
      <alignment horizontal="center"/>
    </xf>
    <xf numFmtId="0" fontId="12" fillId="5" borderId="37" xfId="0" applyFont="1" applyFill="1" applyBorder="1"/>
    <xf numFmtId="165" fontId="12" fillId="5" borderId="32" xfId="0" applyNumberFormat="1" applyFont="1" applyFill="1" applyBorder="1" applyAlignment="1">
      <alignment horizontal="center"/>
    </xf>
    <xf numFmtId="10" fontId="13" fillId="5" borderId="32" xfId="3" applyNumberFormat="1" applyFont="1" applyFill="1" applyBorder="1" applyAlignment="1">
      <alignment horizontal="center"/>
    </xf>
    <xf numFmtId="10" fontId="2" fillId="5" borderId="32" xfId="0" applyNumberFormat="1" applyFont="1" applyFill="1" applyBorder="1" applyAlignment="1">
      <alignment horizontal="center" vertical="center"/>
    </xf>
    <xf numFmtId="166" fontId="2" fillId="5" borderId="32" xfId="1" applyNumberFormat="1" applyFont="1" applyFill="1" applyBorder="1" applyAlignment="1">
      <alignment horizontal="center" vertical="center"/>
    </xf>
    <xf numFmtId="10" fontId="12" fillId="5" borderId="33" xfId="3" applyNumberFormat="1" applyFont="1" applyFill="1" applyBorder="1" applyAlignment="1">
      <alignment horizontal="center"/>
    </xf>
    <xf numFmtId="10" fontId="12" fillId="5" borderId="37" xfId="0" applyNumberFormat="1" applyFont="1" applyFill="1" applyBorder="1" applyAlignment="1">
      <alignment horizontal="center"/>
    </xf>
    <xf numFmtId="10" fontId="12" fillId="5" borderId="32" xfId="0" applyNumberFormat="1" applyFont="1" applyFill="1" applyBorder="1" applyAlignment="1">
      <alignment horizontal="center" vertical="center"/>
    </xf>
    <xf numFmtId="10" fontId="12" fillId="5" borderId="35" xfId="0" applyNumberFormat="1" applyFont="1" applyFill="1" applyBorder="1" applyAlignment="1">
      <alignment horizontal="center" vertical="center"/>
    </xf>
    <xf numFmtId="10" fontId="0" fillId="0" borderId="0" xfId="0" applyNumberFormat="1"/>
    <xf numFmtId="0" fontId="8" fillId="0" borderId="0" xfId="5" applyFont="1" applyFill="1" applyBorder="1" applyAlignment="1">
      <alignment horizontal="center" vertical="center"/>
    </xf>
    <xf numFmtId="0" fontId="14" fillId="0" borderId="0" xfId="5" applyFont="1" applyFill="1" applyBorder="1" applyAlignment="1">
      <alignment vertical="center"/>
    </xf>
    <xf numFmtId="0" fontId="0" fillId="6" borderId="41" xfId="0" applyFill="1" applyBorder="1" applyAlignment="1">
      <alignment horizontal="center"/>
    </xf>
    <xf numFmtId="0" fontId="0" fillId="6" borderId="42" xfId="0" applyFill="1" applyBorder="1" applyAlignment="1">
      <alignment horizontal="center"/>
    </xf>
    <xf numFmtId="0" fontId="10" fillId="6" borderId="19" xfId="0" applyFont="1" applyFill="1" applyBorder="1" applyAlignment="1">
      <alignment horizontal="center"/>
    </xf>
    <xf numFmtId="0" fontId="10" fillId="7" borderId="19" xfId="0" applyFont="1" applyFill="1" applyBorder="1" applyAlignment="1">
      <alignment horizontal="center"/>
    </xf>
    <xf numFmtId="0" fontId="10" fillId="6" borderId="43" xfId="0" applyFont="1" applyFill="1" applyBorder="1" applyAlignment="1">
      <alignment horizontal="center"/>
    </xf>
    <xf numFmtId="0" fontId="10" fillId="6" borderId="44" xfId="0" applyFont="1" applyFill="1" applyBorder="1" applyAlignment="1">
      <alignment horizontal="center"/>
    </xf>
    <xf numFmtId="0" fontId="10" fillId="8" borderId="45" xfId="0" applyFont="1" applyFill="1" applyBorder="1" applyAlignment="1">
      <alignment horizontal="center"/>
    </xf>
    <xf numFmtId="165" fontId="10" fillId="8" borderId="46" xfId="0" applyNumberFormat="1" applyFont="1" applyFill="1" applyBorder="1" applyAlignment="1">
      <alignment horizontal="center"/>
    </xf>
    <xf numFmtId="0" fontId="10" fillId="8" borderId="2" xfId="0" applyFont="1" applyFill="1" applyBorder="1" applyAlignment="1">
      <alignment horizontal="center" vertical="center"/>
    </xf>
    <xf numFmtId="165" fontId="10" fillId="8" borderId="2" xfId="0" applyNumberFormat="1" applyFont="1" applyFill="1" applyBorder="1" applyAlignment="1">
      <alignment horizontal="center" vertical="center"/>
    </xf>
    <xf numFmtId="182" fontId="10" fillId="8" borderId="47" xfId="3" applyNumberFormat="1" applyFont="1" applyFill="1" applyBorder="1" applyAlignment="1">
      <alignment horizontal="center" vertical="center"/>
    </xf>
    <xf numFmtId="182" fontId="10" fillId="0" borderId="0" xfId="3" applyNumberFormat="1" applyFont="1" applyFill="1" applyBorder="1" applyAlignment="1">
      <alignment horizontal="center" vertical="center"/>
    </xf>
    <xf numFmtId="0" fontId="0" fillId="8" borderId="19" xfId="0" applyFill="1" applyBorder="1"/>
    <xf numFmtId="168" fontId="0" fillId="8" borderId="19" xfId="0" applyNumberFormat="1" applyFill="1" applyBorder="1"/>
    <xf numFmtId="168" fontId="0" fillId="8" borderId="48" xfId="0" applyNumberFormat="1" applyFill="1" applyBorder="1"/>
    <xf numFmtId="10" fontId="10" fillId="8" borderId="6" xfId="3" applyNumberFormat="1" applyFont="1" applyFill="1" applyBorder="1" applyAlignment="1">
      <alignment horizontal="center"/>
    </xf>
    <xf numFmtId="0" fontId="10" fillId="8" borderId="49" xfId="0" applyFont="1" applyFill="1" applyBorder="1" applyAlignment="1">
      <alignment horizontal="center"/>
    </xf>
    <xf numFmtId="165" fontId="10" fillId="8" borderId="42" xfId="0" applyNumberFormat="1" applyFont="1" applyFill="1" applyBorder="1" applyAlignment="1">
      <alignment horizontal="center"/>
    </xf>
    <xf numFmtId="0" fontId="10" fillId="8" borderId="17" xfId="0" applyFont="1" applyFill="1" applyBorder="1" applyAlignment="1">
      <alignment horizontal="center" vertical="center"/>
    </xf>
    <xf numFmtId="183" fontId="10" fillId="8" borderId="17" xfId="0" applyNumberFormat="1" applyFont="1" applyFill="1" applyBorder="1" applyAlignment="1">
      <alignment horizontal="center" vertical="center"/>
    </xf>
    <xf numFmtId="0" fontId="15" fillId="0" borderId="0" xfId="0" applyFont="1"/>
    <xf numFmtId="10" fontId="0" fillId="0" borderId="0" xfId="3" applyNumberFormat="1" applyFont="1"/>
    <xf numFmtId="184" fontId="10" fillId="8" borderId="17" xfId="0" applyNumberFormat="1" applyFont="1" applyFill="1" applyBorder="1" applyAlignment="1">
      <alignment horizontal="center" vertical="center"/>
    </xf>
    <xf numFmtId="171" fontId="0" fillId="8" borderId="19" xfId="0" applyNumberFormat="1" applyFill="1" applyBorder="1"/>
    <xf numFmtId="171" fontId="0" fillId="8" borderId="48" xfId="0" applyNumberFormat="1" applyFill="1" applyBorder="1"/>
    <xf numFmtId="10" fontId="10" fillId="8" borderId="18" xfId="3" applyNumberFormat="1" applyFont="1" applyFill="1" applyBorder="1" applyAlignment="1">
      <alignment horizontal="center"/>
    </xf>
    <xf numFmtId="0" fontId="10" fillId="8" borderId="42" xfId="0" applyFont="1" applyFill="1" applyBorder="1" applyAlignment="1">
      <alignment horizontal="center"/>
    </xf>
    <xf numFmtId="185" fontId="10" fillId="8" borderId="17" xfId="0" applyNumberFormat="1" applyFont="1" applyFill="1" applyBorder="1" applyAlignment="1">
      <alignment horizontal="center" vertical="center"/>
    </xf>
    <xf numFmtId="0" fontId="10" fillId="8" borderId="50" xfId="0" applyFont="1" applyFill="1" applyBorder="1" applyAlignment="1">
      <alignment horizontal="right"/>
    </xf>
    <xf numFmtId="186" fontId="10" fillId="8" borderId="17" xfId="0" applyNumberFormat="1" applyFont="1" applyFill="1" applyBorder="1" applyAlignment="1">
      <alignment horizontal="center" vertical="center"/>
    </xf>
    <xf numFmtId="0" fontId="12" fillId="5" borderId="19" xfId="0" applyFont="1" applyFill="1" applyBorder="1" applyAlignment="1">
      <alignment horizontal="center"/>
    </xf>
    <xf numFmtId="175" fontId="12" fillId="5" borderId="19" xfId="1" applyNumberFormat="1" applyFont="1" applyFill="1" applyBorder="1" applyAlignment="1">
      <alignment horizontal="center"/>
    </xf>
    <xf numFmtId="187" fontId="10" fillId="8" borderId="17" xfId="0" applyNumberFormat="1" applyFont="1" applyFill="1" applyBorder="1" applyAlignment="1">
      <alignment horizontal="center" vertical="center"/>
    </xf>
    <xf numFmtId="0" fontId="0" fillId="0" borderId="0" xfId="0" applyAlignment="1">
      <alignment wrapText="1"/>
    </xf>
    <xf numFmtId="0" fontId="10" fillId="8" borderId="51" xfId="0" applyFont="1" applyFill="1" applyBorder="1" applyAlignment="1">
      <alignment horizontal="center" vertical="center"/>
    </xf>
    <xf numFmtId="188" fontId="10" fillId="8" borderId="17" xfId="0" applyNumberFormat="1" applyFont="1" applyFill="1" applyBorder="1" applyAlignment="1">
      <alignment horizontal="center" vertical="center"/>
    </xf>
    <xf numFmtId="188" fontId="10" fillId="8" borderId="6" xfId="0" applyNumberFormat="1" applyFont="1" applyFill="1" applyBorder="1" applyAlignment="1">
      <alignment horizontal="center" vertical="center"/>
    </xf>
    <xf numFmtId="169" fontId="9" fillId="0" borderId="0" xfId="3" applyNumberFormat="1" applyFont="1" applyFill="1" applyBorder="1" applyAlignment="1">
      <alignment horizontal="center" vertical="center"/>
    </xf>
    <xf numFmtId="175" fontId="9" fillId="0" borderId="0" xfId="3" applyNumberFormat="1" applyFont="1" applyFill="1" applyBorder="1" applyAlignment="1">
      <alignment horizontal="center" vertical="center"/>
    </xf>
    <xf numFmtId="165" fontId="0" fillId="0" borderId="0" xfId="0" applyNumberFormat="1"/>
    <xf numFmtId="180" fontId="10" fillId="8" borderId="16" xfId="0" applyNumberFormat="1" applyFont="1" applyFill="1" applyBorder="1" applyAlignment="1">
      <alignment horizontal="center" vertical="center"/>
    </xf>
    <xf numFmtId="164" fontId="0" fillId="0" borderId="0" xfId="0" applyNumberFormat="1"/>
    <xf numFmtId="0" fontId="0" fillId="0" borderId="46" xfId="0" applyBorder="1"/>
    <xf numFmtId="0" fontId="10" fillId="8" borderId="51" xfId="0" applyFont="1" applyFill="1" applyBorder="1" applyAlignment="1">
      <alignment vertical="center"/>
    </xf>
    <xf numFmtId="0" fontId="10" fillId="8" borderId="52" xfId="0" applyFont="1" applyFill="1" applyBorder="1" applyAlignment="1">
      <alignment vertical="center"/>
    </xf>
    <xf numFmtId="0" fontId="10" fillId="8" borderId="53" xfId="0" applyFont="1" applyFill="1" applyBorder="1" applyAlignment="1">
      <alignment vertical="center"/>
    </xf>
    <xf numFmtId="182" fontId="10" fillId="8" borderId="18" xfId="3" applyNumberFormat="1" applyFont="1" applyFill="1" applyBorder="1" applyAlignment="1">
      <alignment horizontal="center" vertical="center"/>
    </xf>
    <xf numFmtId="182" fontId="0" fillId="0" borderId="0" xfId="0" applyNumberFormat="1" applyAlignment="1">
      <alignment horizontal="center"/>
    </xf>
    <xf numFmtId="169" fontId="0" fillId="0" borderId="0" xfId="0" applyNumberFormat="1"/>
    <xf numFmtId="165" fontId="9" fillId="0" borderId="0" xfId="3" applyNumberFormat="1" applyFont="1" applyFill="1" applyBorder="1" applyAlignment="1">
      <alignment horizontal="center" vertical="center"/>
    </xf>
    <xf numFmtId="0" fontId="8" fillId="5" borderId="38" xfId="5" applyFont="1" applyFill="1" applyBorder="1" applyAlignment="1">
      <alignment horizontal="center" vertical="center"/>
    </xf>
    <xf numFmtId="0" fontId="8" fillId="5" borderId="39" xfId="5" applyFont="1" applyFill="1" applyBorder="1" applyAlignment="1">
      <alignment horizontal="center" vertical="center"/>
    </xf>
    <xf numFmtId="0" fontId="14" fillId="5" borderId="40" xfId="5" applyFont="1" applyFill="1" applyBorder="1" applyAlignment="1">
      <alignment horizontal="center" vertical="center"/>
    </xf>
    <xf numFmtId="0" fontId="8" fillId="5" borderId="40" xfId="5" applyFont="1" applyFill="1" applyBorder="1" applyAlignment="1">
      <alignment horizontal="center" vertical="center"/>
    </xf>
    <xf numFmtId="10" fontId="10" fillId="8" borderId="12" xfId="3" applyNumberFormat="1" applyFont="1" applyFill="1" applyBorder="1" applyAlignment="1">
      <alignment horizontal="center" vertical="center"/>
    </xf>
    <xf numFmtId="10" fontId="10" fillId="8" borderId="7" xfId="3" applyNumberFormat="1" applyFont="1" applyFill="1" applyBorder="1" applyAlignment="1">
      <alignment horizontal="center" vertical="center"/>
    </xf>
    <xf numFmtId="10" fontId="10" fillId="8" borderId="27" xfId="3" applyNumberFormat="1" applyFont="1" applyFill="1" applyBorder="1" applyAlignment="1">
      <alignment horizontal="center" vertical="center"/>
    </xf>
    <xf numFmtId="0" fontId="8" fillId="5" borderId="1" xfId="4" applyFont="1" applyFill="1" applyBorder="1" applyAlignment="1">
      <alignment horizontal="center" vertical="center"/>
    </xf>
    <xf numFmtId="0" fontId="8" fillId="5" borderId="1" xfId="5" applyFont="1" applyFill="1" applyBorder="1" applyAlignment="1">
      <alignment horizontal="center" vertical="center"/>
    </xf>
    <xf numFmtId="10" fontId="10" fillId="8" borderId="12" xfId="0" applyNumberFormat="1" applyFont="1" applyFill="1" applyBorder="1" applyAlignment="1">
      <alignment horizontal="center" vertical="center"/>
    </xf>
    <xf numFmtId="10" fontId="10" fillId="8" borderId="7" xfId="0" applyNumberFormat="1" applyFont="1" applyFill="1" applyBorder="1" applyAlignment="1">
      <alignment horizontal="center" vertical="center"/>
    </xf>
    <xf numFmtId="10" fontId="10" fillId="8" borderId="27" xfId="0" applyNumberFormat="1" applyFont="1" applyFill="1" applyBorder="1" applyAlignment="1">
      <alignment horizontal="center" vertical="center"/>
    </xf>
    <xf numFmtId="10" fontId="10" fillId="8" borderId="8" xfId="3" applyNumberFormat="1" applyFont="1" applyFill="1" applyBorder="1" applyAlignment="1">
      <alignment horizontal="center" vertical="center"/>
    </xf>
    <xf numFmtId="10" fontId="10" fillId="8" borderId="15" xfId="3" applyNumberFormat="1" applyFont="1" applyFill="1" applyBorder="1" applyAlignment="1">
      <alignment horizontal="center" vertical="center"/>
    </xf>
    <xf numFmtId="10" fontId="10" fillId="8" borderId="22" xfId="3" applyNumberFormat="1" applyFont="1" applyFill="1" applyBorder="1" applyAlignment="1">
      <alignment horizontal="center" vertical="center"/>
    </xf>
  </cellXfs>
  <cellStyles count="7">
    <cellStyle name="20% - Accent5" xfId="6" builtinId="46"/>
    <cellStyle name="60% - Accent3" xfId="5" builtinId="40"/>
    <cellStyle name="Accent2" xfId="4" builtinId="33"/>
    <cellStyle name="Comma" xfId="1" builtinId="3"/>
    <cellStyle name="Currency" xfId="2" builtinId="4"/>
    <cellStyle name="Normal" xfId="0" builtinId="0"/>
    <cellStyle name="Percent" xfId="3" builtinId="5"/>
  </cellStyles>
  <dxfs count="51">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B050"/>
      </font>
    </dxf>
    <dxf>
      <font>
        <color rgb="FF9C0006"/>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dxf>
    <dxf>
      <font>
        <color rgb="FF9C0006"/>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dxf>
    <dxf>
      <font>
        <color rgb="FF9C0006"/>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openxmlformats.org/officeDocument/2006/relationships/calcChain" Target="calcChain.xml"/><Relationship Id="rId3" Type="http://schemas.openxmlformats.org/officeDocument/2006/relationships/theme" Target="theme/theme1.xml"/><Relationship Id="rId7" Type="http://schemas.microsoft.com/office/2017/06/relationships/rdRichValue" Target="richData/rdrichvalue.xml"/><Relationship Id="rId12" Type="http://schemas.microsoft.com/office/2017/06/relationships/rdRichValueTypes" Target="richData/rdRichValueTyp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dSupportingPropertyBag" Target="richData/rdsupportingpropertybag.xml"/><Relationship Id="rId5" Type="http://schemas.openxmlformats.org/officeDocument/2006/relationships/sharedStrings" Target="sharedStrings.xml"/><Relationship Id="rId10" Type="http://schemas.microsoft.com/office/2017/06/relationships/rdSupportingPropertyBagStructure" Target="richData/rdsupportingpropertybagstructure.xml"/><Relationship Id="rId4" Type="http://schemas.openxmlformats.org/officeDocument/2006/relationships/styles" Target="styles.xml"/><Relationship Id="rId9" Type="http://schemas.microsoft.com/office/2017/06/relationships/richStyles" Target="richData/rich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76200</xdr:colOff>
      <xdr:row>0</xdr:row>
      <xdr:rowOff>108408</xdr:rowOff>
    </xdr:from>
    <xdr:ext cx="1727200" cy="671988"/>
    <xdr:pic>
      <xdr:nvPicPr>
        <xdr:cNvPr id="2" name="Picture 1">
          <a:extLst>
            <a:ext uri="{FF2B5EF4-FFF2-40B4-BE49-F238E27FC236}">
              <a16:creationId xmlns:a16="http://schemas.microsoft.com/office/drawing/2014/main" id="{289FB775-1EFE-4444-AA86-79F3D7C045CF}"/>
            </a:ext>
          </a:extLst>
        </xdr:cNvPr>
        <xdr:cNvPicPr>
          <a:picLocks noChangeAspect="1"/>
        </xdr:cNvPicPr>
      </xdr:nvPicPr>
      <xdr:blipFill>
        <a:blip xmlns:r="http://schemas.openxmlformats.org/officeDocument/2006/relationships" r:embed="rId1"/>
        <a:stretch>
          <a:fillRect/>
        </a:stretch>
      </xdr:blipFill>
      <xdr:spPr>
        <a:xfrm>
          <a:off x="889000" y="108408"/>
          <a:ext cx="1727200" cy="671988"/>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988a7864ec4336c9/SIGMA/Fund%20Manager/Material/Main%20Topics/Portfolio%20Updates/00%20Excel/2022/11.%20November/Sigma%20Fund%20(19.11.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board"/>
      <sheetName val="Broker Account"/>
      <sheetName val="Bank Account"/>
      <sheetName val="Participants"/>
      <sheetName val="Sigma Share Price"/>
      <sheetName val="Performance"/>
      <sheetName val="Budget Account"/>
      <sheetName val="Other"/>
    </sheetNames>
    <sheetDataSet>
      <sheetData sheetId="0"/>
      <sheetData sheetId="1">
        <row r="8">
          <cell r="K8">
            <v>14492.600000000002</v>
          </cell>
        </row>
      </sheetData>
      <sheetData sheetId="2">
        <row r="8">
          <cell r="K8">
            <v>57.268759572642011</v>
          </cell>
        </row>
      </sheetData>
      <sheetData sheetId="3">
        <row r="65">
          <cell r="D65">
            <v>4768</v>
          </cell>
        </row>
      </sheetData>
      <sheetData sheetId="4"/>
      <sheetData sheetId="5"/>
      <sheetData sheetId="6"/>
      <sheetData sheetId="7"/>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50">
  <rv s="0">
    <v>https://www.bing.com/financeapi/forcetrigger?t=alnyc7&amp;q=XAMS%3aAD&amp;form=skydnc</v>
    <v>Learn more on Bing</v>
  </rv>
  <rv s="1">
    <v>en-US</v>
    <v>alnyc7</v>
    <v>268435456</v>
    <v>1</v>
    <v>Powered by Refinitiv</v>
    <v>0</v>
    <v>Koninklijke Ahold Delhaize NV (XAMS:AD)</v>
    <v>2</v>
    <v>3</v>
    <v>Finance</v>
    <v>4</v>
    <v>31.4</v>
    <v>24.03</v>
    <v>0.3805</v>
    <v>0.13500000000000001</v>
    <v>4.9160000000000002E-3</v>
    <v>EUR</v>
    <v>Koninklijke Ahold Delhaize N.V., formerly Koninklijke Ahold N.V., is engaged in the operation of retail stores in Europe and the United States. The Company's segments are Ahold USA, Delhaize America, The Netherlands, Belgium, and Central and Southeastern Europe (CSE). In addition, Other retail, consists of Ahold Delhaize's unconsolidated joint ventures JMR - Gestao de Empresas de Retalho, SGPS, S.A. (JMR) and P.T. Lion Super Indo, LLC (Super Indo), and Ahold Delhaize's Global Support Office. JMR operates food retail stores in Portugal under the brand name Pingo Doce. The Company's Ahold USA segment includes Stop &amp; Shop New England, Stop &amp; Shop New York Metro, Giant Landover, Giant Carlisle and Peapod. The Company's Delhaize America segment includes brands, such as Food Lion and Hannaford. The Food Lion brand's market areas include Delaware, Georgia, Maryland, Pennsylvania, Tennessee, West Virginia, Kentucky, North Carolina, South Carolina and Virginia.</v>
    <v>413000</v>
    <v>Euronext Amsterdam</v>
    <v>XAMS</v>
    <v>XAMS</v>
    <v>Provincialeweg 11, ZAANDAM, NOORD-HOLLAND, 1506 MA NL</v>
    <v>27.73</v>
    <v>Food &amp; Drug Retailing</v>
    <v>Stock</v>
    <v>44883.708333333336</v>
    <v>0</v>
    <v>27.48</v>
    <v>28856780000</v>
    <v>Koninklijke Ahold Delhaize NV</v>
    <v>Koninklijke Ahold Delhaize NV</v>
    <v>27.56</v>
    <v>11.6653</v>
    <v>27.46</v>
    <v>27.594999999999999</v>
    <v>1045725000</v>
    <v>AD</v>
    <v>Koninklijke Ahold Delhaize NV (XAMS:AD)</v>
    <v>3101735</v>
    <v>3130210</v>
    <v>1920</v>
  </rv>
  <rv s="2">
    <v>1</v>
  </rv>
  <rv s="0">
    <v>https://www.bing.com/financeapi/forcetrigger?t=ae92im&amp;q=XPAR%3aKER&amp;form=skydnc</v>
    <v>Learn more on Bing</v>
  </rv>
  <rv s="1">
    <v>en-GB</v>
    <v>ae92im</v>
    <v>268435456</v>
    <v>1</v>
    <v>Powered by Refinitiv</v>
    <v>0</v>
    <v>Kering SA (XPAR:KER)</v>
    <v>2</v>
    <v>3</v>
    <v>Finance</v>
    <v>4</v>
    <v>740.8</v>
    <v>427.55</v>
    <v>0.96630000000000005</v>
    <v>10.7</v>
    <v>1.9799999999999998E-2</v>
    <v>EUR</v>
    <v>Kering SA is a France-based luxury group. The Group manages the development of a series of renowned Houses in Fashion, Leather Goods and Jewelry: Gucci, Saint Laurent, Bottega Veneta, Balenciaga, Alexander McQueen, Brioni, Boucheron, Pomellato, DoDo, Qeelin, as well as Kering Eyewear. It manufactures and sell, mostly through managed retail stores, an array of products, including leather goods, apparel, accessories, footwear, jewelry among others, for man, woman and child. The Group is active globally.</v>
    <v>36397</v>
    <v>Euronext Paris</v>
    <v>XPAR</v>
    <v>XPAR</v>
    <v>40 rue de Sevres, PARIS, ILE-DE-FRANCE, 75007 FR</v>
    <v>552.9</v>
    <v>Specialty Retailers</v>
    <v>Stock</v>
    <v>44883.708333333336</v>
    <v>3</v>
    <v>541.20000000000005</v>
    <v>68774950000</v>
    <v>Kering SA</v>
    <v>Kering SA</v>
    <v>544.20000000000005</v>
    <v>18.178899999999999</v>
    <v>540.4</v>
    <v>551.1</v>
    <v>124795800</v>
    <v>KER</v>
    <v>Kering SA (XPAR:KER)</v>
    <v>273183</v>
    <v>208370</v>
    <v>1955</v>
  </rv>
  <rv s="2">
    <v>4</v>
  </rv>
  <rv s="0">
    <v>https://www.bing.com/financeapi/forcetrigger?t=a1x2ur&amp;q=XNYS%3aLOW&amp;form=skydnc</v>
    <v>Learn more on Bing</v>
  </rv>
  <rv s="3">
    <v>en-GB</v>
    <v>a1x2ur</v>
    <v>268435456</v>
    <v>1</v>
    <v>Powered by Refinitiv</v>
    <v>5</v>
    <v>LOWE'S COMPANIES, INC. (XNYS:LOW)</v>
    <v>2</v>
    <v>6</v>
    <v>Finance</v>
    <v>7</v>
    <v>263.31</v>
    <v>170.12</v>
    <v>1.1431</v>
    <v>1.65</v>
    <v>-1.905E-3</v>
    <v>7.9170000000000004E-3</v>
    <v>-0.4</v>
    <v>USD</v>
    <v>Lowe's Companies, Inc. (Lowe's) is a home improvement company. The Company operates home improvement and hardware stores. The Company offers a range of products for maintenance, repair, remodeling and decorating. The Company offers home improvement products in categories, including Appliances, Seasonal and Outdoor Living, Lawn and Garden, Lumber, Kitchens and Bath, Tools, Paint, Millwork, Hardware, Flooring, Rough Plumbing, Building Materials, Decor, Lighting, and Electrical. It offers installation services through contractors in its product categories, with Flooring, Kitchens and Bath, Millwork, Appliances, and Lumber. Through its Websites and mobile applications, it provides an online product information, customer ratings and reviews, online buying guides and how-to videos and other information. It serves homeowners, renters, and professional customers. The Company operates approximately 1,737 stores located across 50 states in United States, as well as over 234 stores in Canada.</v>
    <v>200000</v>
    <v>New York Stock Exchange</v>
    <v>XNYS</v>
    <v>XNYS</v>
    <v>1000 Lowes Blvd, MOORESVILLE, NC, 28117-8520 US</v>
    <v>211.84</v>
    <v>Specialty Retailers</v>
    <v>Stock</v>
    <v>44884.005342557815</v>
    <v>6</v>
    <v>206.41</v>
    <v>130303700000</v>
    <v>LOWE'S COMPANIES, INC.</v>
    <v>LOWE'S COMPANIES, INC.</v>
    <v>211.82</v>
    <v>20.434699999999999</v>
    <v>208.4</v>
    <v>210.05</v>
    <v>209.53</v>
    <v>620700600</v>
    <v>LOW</v>
    <v>LOWE'S COMPANIES, INC. (XNYS:LOW)</v>
    <v>2912756</v>
    <v>3944484</v>
    <v>1952</v>
  </rv>
  <rv s="2">
    <v>7</v>
  </rv>
  <rv s="0">
    <v>https://www.bing.com/financeapi/forcetrigger?t=a246z2&amp;q=XNYS%3aTGT&amp;form=skydnc</v>
    <v>Learn more on Bing</v>
  </rv>
  <rv s="1">
    <v>en-GB</v>
    <v>a246z2</v>
    <v>268435456</v>
    <v>1</v>
    <v>Powered by Refinitiv</v>
    <v>0</v>
    <v>TARGET CORPORATION (XNYS:TGT)</v>
    <v>2</v>
    <v>8</v>
    <v>Finance</v>
    <v>9</v>
    <v>254.87</v>
    <v>137.16</v>
    <v>1.0207999999999999</v>
    <v>0.88</v>
    <v>5.4320000000000002E-3</v>
    <v>USD</v>
    <v>Target Corporation (Target) is a general merchandise retailer selling products through its stores and digital channels. The Company sells an assortment of general merchandise and food. The Company’s product category includes apparel and accessories, beauty and household essentials, food and beverage, hardlines, and home furnishing and decor. Its general merchandise stores offer an edited food assortment, including perishables, dry grocery, dairy and frozen items. The Company has stores of approximately 170,000 square feet offer a full line of food items comparable to traditional supermarkets. Its small-format stores have over 50,000 square feet that offer curated general merchandise and food assortments. Its brands include Art Class, Smartly, Auden, JoyLab, Smith &amp; Hawken, Ava &amp; Viv, Kindfull, Sonia Kashuk, Casaluna, Market Pantry, Threshold, Cat &amp; Jack, Mondo Llama, Universal Thread, Cloud Island, More Than Magic, up &amp; up, Colsie, Opalhouse, Wild Fable and Open Story, Wondershop.</v>
    <v>450000</v>
    <v>New York Stock Exchange</v>
    <v>XNYS</v>
    <v>XNYS</v>
    <v>1000 Nicollet Mall, MINNEAPOLIS, MN, 55403 US</v>
    <v>164.7</v>
    <v>Diversified Retail</v>
    <v>Stock</v>
    <v>44883.896472939065</v>
    <v>9</v>
    <v>160</v>
    <v>74967580000</v>
    <v>TARGET CORPORATION</v>
    <v>TARGET CORPORATION</v>
    <v>161.97999999999999</v>
    <v>18.496300000000002</v>
    <v>162.01</v>
    <v>162.88999999999999</v>
    <v>460262600</v>
    <v>TGT</v>
    <v>TARGET CORPORATION (XNYS:TGT)</v>
    <v>8848</v>
    <v>5627343</v>
    <v>1902</v>
  </rv>
  <rv s="2">
    <v>10</v>
  </rv>
  <rv s="0">
    <v>https://www.bing.com/financeapi/forcetrigger?t=a1r32w&amp;q=XNAS%3aWBD&amp;form=skydnc</v>
    <v>Learn more on Bing</v>
  </rv>
  <rv s="3">
    <v>en-GB</v>
    <v>a1r32w</v>
    <v>268435456</v>
    <v>1</v>
    <v>Powered by Refinitiv</v>
    <v>5</v>
    <v>WARNER BROS. DISCOVERY, INC. (XNAS:WBD)</v>
    <v>2</v>
    <v>6</v>
    <v>Finance</v>
    <v>10</v>
    <v>31.55</v>
    <v>9.52</v>
    <v>1.3785000000000001</v>
    <v>-0.19</v>
    <v>-3.7140000000000003E-3</v>
    <v>-1.7336000000000001E-2</v>
    <v>-0.04</v>
    <v>USD</v>
    <v>Warner Bros. Discovery, Inc., formerly Discovery, Inc., is a global media and entertainment company. The Company offers audiences the differentiated and complete portfolio of content, brands, and franchises across television, film, streaming, and gaming in approximately 220 countries and territories and 50 languages. The Company entertains audiences worldwide through its brands and products including Discovery Channel, discovery+, CNN, CNN+, DC, Eurosport, HBO, HBO Max, HGTV, Food Network, OWN, Investigation Discovery, TLC, TNT, TBS, truTV, Travel Channel, Magnolia Network, MotorTrend, Animal Planet, Science Channel, Warner Bros. Pictures, New Line Cinema, Cartoonito, Turner Classic Movies, Boomerang, OhK TV Asia, TABI Channel, Turner Sports, Tooncast, CNN Sans, Boing TV, Cooking Channel, TNT Rooster Teeth, CINEMAX GO, Bleacher Report, Cartoon Network, Adult Swim, Turner Classic vies and others.</v>
    <v>11000</v>
    <v>Nasdaq Stock Market</v>
    <v>XNAS</v>
    <v>XNAS</v>
    <v>230 PARK AVENUE SOUTH, NEW YORK, NY, 10003 US</v>
    <v>11.21</v>
    <v>Media &amp; Publishing</v>
    <v>Stock</v>
    <v>44884.041365323435</v>
    <v>12</v>
    <v>10.65</v>
    <v>26153820000</v>
    <v>WARNER BROS. DISCOVERY, INC.</v>
    <v>WARNER BROS. DISCOVERY, INC.</v>
    <v>11.12</v>
    <v>7.2262000000000004</v>
    <v>10.96</v>
    <v>10.77</v>
    <v>10.73</v>
    <v>2428396000</v>
    <v>WBD</v>
    <v>WARNER BROS. DISCOVERY, INC. (XNAS:WBD)</v>
    <v>14638780</v>
    <v>28562949</v>
    <v>2008</v>
  </rv>
  <rv s="2">
    <v>13</v>
  </rv>
  <rv s="4">
    <v>12</v>
    <v>Ticker symbol</v>
    <v>0</v>
  </rv>
  <rv s="4">
    <v>12</v>
    <v>Exchange abbreviation</v>
    <v>0</v>
  </rv>
  <rv s="0">
    <v>https://www.bing.com/financeapi/forcetrigger?t=a1x8w7&amp;q=XNYS%3aMA&amp;form=skydnc</v>
    <v>Learn more on Bing</v>
  </rv>
  <rv s="3">
    <v>en-US</v>
    <v>a1x8w7</v>
    <v>268435456</v>
    <v>1</v>
    <v>Powered by Refinitiv</v>
    <v>5</v>
    <v>MASTERCARD INCORPORATED. (XNYS:MA)</v>
    <v>2</v>
    <v>6</v>
    <v>Finance</v>
    <v>10</v>
    <v>399.92</v>
    <v>276.87</v>
    <v>1.1062000000000001</v>
    <v>2.42</v>
    <v>3.8119999999999999E-3</v>
    <v>7.0909999999999992E-3</v>
    <v>1.31</v>
    <v>USD</v>
    <v>Mastercard Incorporated is a technology company that connects consumers, financial institutions, merchants, governments and businesses across the world, enabling them to use electronic forms of payment. The Company allows user to make payments by creating a range of payment solutions and services using its brands, which include MasterCard, Maestro and Cirrus. It provides a range of products and solutions that support payment products, which customers can offer to their cardholders. The Company's services facilitate transactions on its core network among account holders, merchants, financial institutions, businesses, governments and other organizations in markets globally. Its products include consumer credit, consumer debit, prepaid and commercial credit and debit. It also provides integrated offerings such as cyber and intelligence products, information and analytics services, identity verification services, consulting, loyalty and reward programs, processing and open banking.</v>
    <v>24000</v>
    <v>New York Stock Exchange</v>
    <v>XNYS</v>
    <v>XNYS</v>
    <v>2000 Purchase St, PURCHASE, NY, 10577-2405 US</v>
    <v>348.63</v>
    <v>Software &amp; IT Services</v>
    <v>Stock</v>
    <v>44884.040475080466</v>
    <v>17</v>
    <v>341.33</v>
    <v>330444100000</v>
    <v>MASTERCARD INCORPORATED.</v>
    <v>MASTERCARD INCORPORATED.</v>
    <v>345.66</v>
    <v>34.092500000000001</v>
    <v>341.27</v>
    <v>343.69</v>
    <v>345</v>
    <v>961459800</v>
    <v>MA</v>
    <v>MASTERCARD INCORPORATED. (XNYS:MA)</v>
    <v>2737666</v>
    <v>3139408</v>
    <v>2001</v>
  </rv>
  <rv s="2">
    <v>18</v>
  </rv>
  <rv s="0">
    <v>https://www.bing.com/financeapi/forcetrigger?t=af4ak2&amp;q=XFRA%3aALV&amp;form=skydnc</v>
    <v>Learn more on Bing</v>
  </rv>
  <rv s="1">
    <v>en-US</v>
    <v>af4ak2</v>
    <v>268435456</v>
    <v>1</v>
    <v>Powered by Refinitiv</v>
    <v>0</v>
    <v>Allianz SE (XFRA:ALV)</v>
    <v>2</v>
    <v>3</v>
    <v>Finance</v>
    <v>4</v>
    <v>232.65</v>
    <v>116.52</v>
    <v>1.1080000000000001</v>
    <v>1.5</v>
    <v>7.4129999999999995E-3</v>
    <v>EUR</v>
    <v>Allianz SE is a German-based financial service company. The Company is the holding company of the Allianz Group (Allianz SE and its subsidiaries). The Company's segments include Property-Casualty, Life/Health, Asset Management, and Corporate and Other. The Company provides a range of reinsurance coverage, primarily to Allianz insurance entities, as well as to third-party customers. The Property-Casualty segment offers a range of products and services for both private and corporate clients. The Life/Health segment offers a range of life and health insurance products on both an individual and a group basis. The Asset Management segment provides institutional and retail asset management products and services to third-party investors, and provides investment management services to the Allianz Group's insurance operations. The Corporate and Other segment includes Holding &amp; Treasury, Banking and Alternative Investments.</v>
    <v>155411</v>
    <v>Deutsche Boerse AG</v>
    <v>XFRA</v>
    <v>XFRA</v>
    <v>Koeniginstrasse 28, MUENCHEN, BAYERN, 80802 DE</v>
    <v>204.85</v>
    <v>Insurance</v>
    <v>Stock</v>
    <v>44883.878472222219</v>
    <v>20</v>
    <v>202.4</v>
    <v>83304980000</v>
    <v>Allianz SE</v>
    <v>Allianz SE</v>
    <v>202.5</v>
    <v>19.22</v>
    <v>202.35</v>
    <v>203.85</v>
    <v>408457900</v>
    <v>ALV</v>
    <v>Allianz SE (XFRA:ALV)</v>
    <v>2668</v>
    <v>1220510</v>
    <v>2006</v>
  </rv>
  <rv s="2">
    <v>21</v>
  </rv>
  <rv s="0">
    <v>https://www.bing.com/financeapi/forcetrigger?t=a23d9c&amp;q=XNYS%3aSPGI&amp;form=skydnc</v>
    <v>Learn more on Bing</v>
  </rv>
  <rv s="3">
    <v>en-GB</v>
    <v>a23d9c</v>
    <v>268435456</v>
    <v>1</v>
    <v>Powered by Refinitiv</v>
    <v>5</v>
    <v>S&amp;P Global Inc. (XNYS:SPGI)</v>
    <v>2</v>
    <v>6</v>
    <v>Finance</v>
    <v>7</v>
    <v>484.21</v>
    <v>279.32</v>
    <v>1.0596000000000001</v>
    <v>-1</v>
    <v>3.4120000000000001E-3</v>
    <v>-2.8839999999999998E-3</v>
    <v>1.18</v>
    <v>USD</v>
    <v>S&amp;P Global Inc. is a provider of credit ratings, benchmarks, analytics and workflow solutions in the global capital, commodity and automotive markets. The Company comprises six operating divisions: S&amp;P Global Market Intelligence (Market Intelligence), S&amp;P Global Ratings (Ratings), S&amp;P Global Commodity Insights (Commodity Insights), S&amp;P Global Mobility (Mobility), S&amp;P Dow Jones Indices (Indices), and S&amp;P Global Engineering Solutions (Engineering Solutions). Its Ratings provides credit ratings, research and analytics to investors and other market participants. Its Market Intelligence consists of three business line: desktop, data management solutions and credit risk solutions. Its Indices is an index provider that maintains a range of indices to meet various investor needs. Its Mobility provides insights, forecasts and advisory services to automotive value chain. Its Commodity Insights is an independent provider of information and benchmark prices for the commodity and energy markets.</v>
    <v>22850</v>
    <v>New York Stock Exchange</v>
    <v>XNYS</v>
    <v>XNYS</v>
    <v>55 Water St, NEW YORK, NY, 10041-0004 US</v>
    <v>353.11</v>
    <v>Professional &amp; Commercial Services</v>
    <v>Stock</v>
    <v>44883.983653113282</v>
    <v>23</v>
    <v>340.41</v>
    <v>112684400000</v>
    <v>S&amp;P Global Inc.</v>
    <v>S&amp;P Global Inc.</v>
    <v>351.99</v>
    <v>28.9941</v>
    <v>346.77</v>
    <v>345.77</v>
    <v>347.05</v>
    <v>325800000</v>
    <v>SPGI</v>
    <v>S&amp;P Global Inc. (XNYS:SPGI)</v>
    <v>1962940</v>
    <v>1768023</v>
    <v>1925</v>
  </rv>
  <rv s="2">
    <v>24</v>
  </rv>
  <rv s="0">
    <v>https://www.bing.com/financeapi/forcetrigger?t=a1wj9c&amp;q=XNYS%3aKKR&amp;form=skydnc</v>
    <v>Learn more on Bing</v>
  </rv>
  <rv s="3">
    <v>en-US</v>
    <v>a1wj9c</v>
    <v>268435456</v>
    <v>1</v>
    <v>Powered by Refinitiv</v>
    <v>5</v>
    <v>KKR &amp; CO. INC. (XNYS:KKR)</v>
    <v>2</v>
    <v>6</v>
    <v>Finance</v>
    <v>10</v>
    <v>79.89</v>
    <v>41.77</v>
    <v>1.5581</v>
    <v>-0.1</v>
    <v>-2.7778000000000001E-2</v>
    <v>-1.9250000000000001E-3</v>
    <v>-1.44</v>
    <v>USD</v>
    <v>KKR &amp; Co. Inc. is a global investment company that offers alternative asset management as well as capital markets and insurance solutions. It manages investments funds that invest in private equity, credit and real assets and have strategic partners that manage hedge funds. Its insurance subsidiaries offer retirement, life and reinsurance products. Its asset management business offers a broad range of investment management services to fund investors. It operates two segments asset management business and insurance business. Its asset management business has four business lines: Private Markets, Public Markets, Capital Markets, and Principal Activities. Its insurance business is operated by Global Atlantic Financial Group. It provides a suite of protection, legacy and savings products to customers and reinsurance solutions to clients across individual and institutional markets. It primarily offers individuals fixed-rate annuities, fixed-indexed annuities and targeted life products.</v>
    <v>3238</v>
    <v>New York Stock Exchange</v>
    <v>XNYS</v>
    <v>XNYS</v>
    <v>30 Hudson Yards, NEW YORK, NY, 10001 US</v>
    <v>52.75</v>
    <v>Investment Banking &amp; Investment Services</v>
    <v>Stock</v>
    <v>44884.007660508592</v>
    <v>26</v>
    <v>51.44</v>
    <v>44640040000</v>
    <v>KKR &amp; CO. INC.</v>
    <v>KKR &amp; CO. INC.</v>
    <v>52.75</v>
    <v>36.703499999999998</v>
    <v>51.94</v>
    <v>51.84</v>
    <v>50.4</v>
    <v>861111900</v>
    <v>KKR</v>
    <v>KKR &amp; CO. INC. (XNYS:KKR)</v>
    <v>1419748</v>
    <v>3413519</v>
    <v>2021</v>
  </rv>
  <rv s="2">
    <v>27</v>
  </rv>
  <rv s="0">
    <v>https://www.bing.com/financeapi/forcetrigger?t=ao6aw7&amp;q=XLON%3aBARC&amp;form=skydnc</v>
    <v>Learn more on Bing</v>
  </rv>
  <rv s="1">
    <v>en-GB</v>
    <v>ao6aw7</v>
    <v>268435456</v>
    <v>1</v>
    <v>Powered by Refinitiv</v>
    <v>0</v>
    <v>BARCLAYS PLC (XLON:BARC)</v>
    <v>2</v>
    <v>11</v>
    <v>Finance</v>
    <v>12</v>
    <v>219.6</v>
    <v>132.06</v>
    <v>1.6677</v>
    <v>1.06</v>
    <v>6.7659999999999994E-3</v>
    <v>GBp</v>
    <v>Barclays PLC is a United Kingdom-based global financial services provider that is engaged in retail banking, credit cards, wholesale banking, investment banking, wealth management, and investment management services. The Company operates as two divisions, which include Barclays UK and Barclays International, supported by its service company, Barclays Execution Services. Barclays UK consists of its UK Personal Banking, UK Business Banking and Barclaycard Consumer UK businesses. These businesses are carried on by its UK ring-fenced bank (Barclays Bank UK PLC) and certain other entities. Barclays International consists of its corporate and investment bank and consumer, cards, and payments businesses. These businesses are carried on by its non-ring-fenced bank (Barclays Bank PLC) and its subsidiaries, and certain other entities. Barclays Execution Services provides technology, operations, and functional services to businesses. Its operations include consumer banking and payments services.</v>
    <v>81600</v>
    <v>London Stock Exchange</v>
    <v>XLON</v>
    <v>XLON</v>
    <v>Canary Wharf, 1 Churchill Place, LONDON, UNITED KINGDOM-NA, E14 5HP GB</v>
    <v>159.16</v>
    <v>Banking Services</v>
    <v>Stock</v>
    <v>44883.697916666664</v>
    <v>29</v>
    <v>156.06</v>
    <v>25085960000</v>
    <v>BARCLAYS PLC</v>
    <v>BARCLAYS PLC</v>
    <v>156.88</v>
    <v>4.9264000000000001</v>
    <v>156.66</v>
    <v>158.22</v>
    <v>15855110000</v>
    <v>BARC</v>
    <v>BARCLAYS PLC (XLON:BARC)</v>
    <v>22108916</v>
    <v>30581370</v>
    <v>1896</v>
  </rv>
  <rv s="2">
    <v>30</v>
  </rv>
  <rv s="0">
    <v>https://www.bing.com/financeapi/forcetrigger?t=aobau2&amp;q=XLON%3aLSEG&amp;form=skydnc</v>
    <v>Learn more on Bing</v>
  </rv>
  <rv s="1">
    <v>en-US</v>
    <v>aobau2</v>
    <v>268435456</v>
    <v>1</v>
    <v>Powered by Refinitiv</v>
    <v>0</v>
    <v>LONDON STOCK EXCHANGE GROUP PLC (XLON:LSEG)</v>
    <v>2</v>
    <v>11</v>
    <v>Finance</v>
    <v>12</v>
    <v>8612</v>
    <v>6230</v>
    <v>0.43090000000000001</v>
    <v>86</v>
    <v>1.0702E-2</v>
    <v>GBp</v>
    <v>London Stock Exchange Group PLC (LSEG) is a global financial markets infrastructure provider. LSEG operates across three divisions. Data &amp; Analytics division provides customers with information and data products, and includes real-time and non-real-time data, pricing and reference services and indices, delivered via various distribution channels, including data feeds and desktop solutions. Data &amp; Analytics consists of Trading &amp; Banking Solutions, Investment Solutions, Wealth Solutions, Customer and 3rd Party Risk Solutions, and Enterprise Data Solutions. FTSE Russell is a global multi-asset class provider of indices, analytics and data solutions. Capital Markets division provides access to capital for domestic and international businesses and electronic platforms for secondary market trading of equities, fixed income and FX. Post Trade division provides clearing, settlement and regulatory reporting services to support clients’ risk and balance sheet management and regulatory reporting.</v>
    <v>23261</v>
    <v>London Stock Exchange</v>
    <v>XLON</v>
    <v>XLON</v>
    <v>10 Paternoster Square, LONDON, UNITED KINGDOM-NA, EC4M 7LS GB</v>
    <v>8156</v>
    <v>Investment Banking &amp; Investment Services</v>
    <v>Stock</v>
    <v>44883.691035867967</v>
    <v>32</v>
    <v>8030</v>
    <v>40932640000</v>
    <v>LONDON STOCK EXCHANGE GROUP PLC</v>
    <v>LONDON STOCK EXCHANGE GROUP PLC</v>
    <v>8066</v>
    <v>49.906799999999997</v>
    <v>8036</v>
    <v>8122</v>
    <v>503972400</v>
    <v>LSEG</v>
    <v>LONDON STOCK EXCHANGE GROUP PLC (XLON:LSEG)</v>
    <v>449147</v>
    <v>473240</v>
    <v>2005</v>
  </rv>
  <rv s="2">
    <v>33</v>
  </rv>
  <rv s="0">
    <v>https://www.bing.com/financeapi/forcetrigger?t=a1s4mw&amp;q=XNAS%3aEQIX&amp;form=skydnc</v>
    <v>Learn more on Bing</v>
  </rv>
  <rv s="3">
    <v>en-US</v>
    <v>a1s4mw</v>
    <v>268435456</v>
    <v>1</v>
    <v>Powered by Refinitiv</v>
    <v>5</v>
    <v>EQUINIX, INC. (XNAS:EQIX)</v>
    <v>2</v>
    <v>6</v>
    <v>Finance</v>
    <v>10</v>
    <v>853.42</v>
    <v>494.89</v>
    <v>0.54549999999999998</v>
    <v>7.47</v>
    <v>4.9120000000000006E-3</v>
    <v>1.1672999999999999E-2</v>
    <v>3.18</v>
    <v>USD</v>
    <v>Equinix, Inc. (Equinix) is a digital infrastructure company. The Company provides colocation space and related offerings. Equinix provides insight for global enterprises, content providers, financial companies and network service providers to connect their information assets. The Company’s segments include Americas, EMEA and Asia-Pacific. Equinix’s platform Equinix, combines a global footprint of International Business Exchange (IBX) data centers in the Americas (AMER), Asia-Pacific (APAC), and Europe, the Middle East and Africa (EMEA) regions, interconnection solutions, edge services, business and digital ecosystems, and consulting and support. Equinix’s interconnected data centers around the world allows it customers to bring together and interconnect the infrastructure they need to track their digital advantage. It provides each customer access to a choice of business partners and solutions based on their colocation, interconnection and managed information technology service needs.</v>
    <v>10944</v>
    <v>Nasdaq Stock Market</v>
    <v>XNAS</v>
    <v>XNAS</v>
    <v>1 Lagoon Dr, REDWOOD CITY, CA, 94065-1562 US</v>
    <v>651.33000000000004</v>
    <v>Residential &amp; Commercial REIT</v>
    <v>Stock</v>
    <v>44883.959604582815</v>
    <v>35</v>
    <v>639.42999999999995</v>
    <v>59910100000</v>
    <v>EQUINIX, INC.</v>
    <v>EQUINIX, INC.</v>
    <v>651.17999999999995</v>
    <v>83.751800000000003</v>
    <v>639.94000000000005</v>
    <v>647.41</v>
    <v>650.59</v>
    <v>92538120</v>
    <v>EQIX</v>
    <v>EQUINIX, INC. (XNAS:EQIX)</v>
    <v>382458</v>
    <v>524921</v>
    <v>1998</v>
  </rv>
  <rv s="2">
    <v>36</v>
  </rv>
  <rv s="0">
    <v>https://www.bing.com/financeapi/forcetrigger?t=a23327&amp;q=XNYS%3aSLG&amp;form=skydnc</v>
    <v>Learn more on Bing</v>
  </rv>
  <rv s="3">
    <v>en-US</v>
    <v>a23327</v>
    <v>268435456</v>
    <v>1</v>
    <v>Powered by Refinitiv</v>
    <v>5</v>
    <v>SL GREEN REALTY CORP. (XNYS:SLG)</v>
    <v>2</v>
    <v>6</v>
    <v>Finance</v>
    <v>10</v>
    <v>85.148200000000003</v>
    <v>35.770000000000003</v>
    <v>1.3762000000000001</v>
    <v>0.01</v>
    <v>8.763E-3</v>
    <v>2.5040000000000001E-4</v>
    <v>0.35</v>
    <v>USD</v>
    <v>SL Green Realty Corp. is a self-managed real estate investment trust (REIT). The Company is engaged in the acquisition, development, ownership, management, and operation of commercial and residential real estate properties, principally office properties, located in the New York metropolitan area. The Company operates through two segments: Real Estate, and Debt and Preferred Equity Investments. Its business objective is to maximize the total return to stockholders, through net income attributable to common stockholders and funds from operations (FFO), and through asset value appreciation. It also owns or held interests in approximately 11 prime retail properties encompassing over seven buildings in differing stages of development or redevelopment. The Company owns a building that comprises approximately 140,382 square feet of residential space and approximately 50,206 square feet of office and retail space that is under development. It also owns an interest in 245 Park Avenue.</v>
    <v>931</v>
    <v>New York Stock Exchange</v>
    <v>XNYS</v>
    <v>XNYS</v>
    <v>One Vanderbilt Avenue, NEW YORK, NY, 10017 US</v>
    <v>40.93</v>
    <v>Residential &amp; Commercial REIT</v>
    <v>Stock</v>
    <v>44884.038126226566</v>
    <v>38</v>
    <v>39.479999999999997</v>
    <v>2568783000</v>
    <v>SL GREEN REALTY CORP.</v>
    <v>SL GREEN REALTY CORP.</v>
    <v>40.83</v>
    <v>8.4337999999999997</v>
    <v>39.93</v>
    <v>39.94</v>
    <v>40.29</v>
    <v>64316050</v>
    <v>SLG</v>
    <v>SL GREEN REALTY CORP. (XNYS:SLG)</v>
    <v>647570</v>
    <v>1160667</v>
    <v>1997</v>
  </rv>
  <rv s="2">
    <v>39</v>
  </rv>
  <rv s="0">
    <v>https://www.bing.com/financeapi/forcetrigger?t=a1zy3m&amp;q=XNYS%3aPLD&amp;form=skydnc</v>
    <v>Learn more on Bing</v>
  </rv>
  <rv s="3">
    <v>en-US</v>
    <v>a1zy3m</v>
    <v>268435456</v>
    <v>1</v>
    <v>Powered by Refinitiv</v>
    <v>5</v>
    <v>PROLOGIS, INC. (XNYS:PLD)</v>
    <v>2</v>
    <v>6</v>
    <v>Finance</v>
    <v>10</v>
    <v>174.54</v>
    <v>98.03</v>
    <v>0.97050000000000003</v>
    <v>2.25</v>
    <v>3.9280000000000001E-3</v>
    <v>2.0034E-2</v>
    <v>0.45</v>
    <v>USD</v>
    <v>Prologis, Inc. is engaged in logistics real estate with a focus on high-barrier, high-growth markets. The Company has investments in, on a wholly owned basis or through co-investment ventures, properties and development projects expected to total approximately 1.0 billion square feet in 19 countries. It leases logistics facilities to a diverse base of approximately 5,800 customers principally across two categories: business-to-business and retail/online fulfillment. It operates and manage its business on an owned and managed (O&amp;M) basis and therefore evaluate the operating performance of the properties for its O&amp;M portfolio, which includes its consolidated properties and properties owned by its unconsolidated co-investment ventures. The Company operates through two segments. Real Estate Operations segment represents the ownership and development of logistics properties. Strategic Capital segment represents the management of unconsolidated co-investment ventures and other ventures.</v>
    <v>2053</v>
    <v>New York Stock Exchange</v>
    <v>XNYS</v>
    <v>XNYS</v>
    <v>PIER 1 BAY 1, SAN FRANCISCO, CA, 94111 US</v>
    <v>115.12</v>
    <v>Residential &amp; Commercial REIT</v>
    <v>Stock</v>
    <v>44884.031228066407</v>
    <v>41</v>
    <v>113.09</v>
    <v>105747600000</v>
    <v>PROLOGIS, INC.</v>
    <v>PROLOGIS, INC.</v>
    <v>114.24</v>
    <v>20.803000000000001</v>
    <v>112.31</v>
    <v>114.56</v>
    <v>115.01</v>
    <v>923076000</v>
    <v>PLD</v>
    <v>PROLOGIS, INC. (XNYS:PLD)</v>
    <v>3336834</v>
    <v>4292401</v>
    <v>1997</v>
  </rv>
  <rv s="2">
    <v>42</v>
  </rv>
  <rv s="0">
    <v>https://www.bing.com/financeapi/forcetrigger?t=a1ngur&amp;q=XNYS%3aAMT&amp;form=skydnc</v>
    <v>Learn more on Bing</v>
  </rv>
  <rv s="3">
    <v>en-US</v>
    <v>a1ngur</v>
    <v>268435456</v>
    <v>1</v>
    <v>Powered by Refinitiv</v>
    <v>5</v>
    <v>AMERICAN TOWER CORPORATION (XNYS:AMT)</v>
    <v>2</v>
    <v>6</v>
    <v>Finance</v>
    <v>10</v>
    <v>294.39999999999998</v>
    <v>178.17</v>
    <v>0.52949999999999997</v>
    <v>-0.41</v>
    <v>9.2619999999999991E-5</v>
    <v>-1.895E-3</v>
    <v>0.02</v>
    <v>USD</v>
    <v>American Tower Corporation is a holding company. The Company operates as a real estate investment trust (REIT), which owns, operates and develops multitenant communications real estate. Its segments include U.S. &amp; Canada property, Asia-Pacific property, Africa property, Europe property and Latin America property. Its U.S. &amp; Canada property segment includes operations in Canada and the United States. Its Asia-Pacific property segment includes operations in Australia, Bangladesh, India and the Philippines. The Africa property segment includes operations in Burkina Faso, Ghana, Kenya, Niger, Nigeria, South Africa and Uganda. The Europe property segment includes operations in France, Germany, Spain and Poland. The Latin America property segment includes operations in Argentina, Brazil, Chile, Colombia, Costa Rica, Mexico, Paraguay and Peru. It also offers data center property operations in the United States. The Company offers tower-related services in the United States.</v>
    <v>6378</v>
    <v>New York Stock Exchange</v>
    <v>XNYS</v>
    <v>XNYS</v>
    <v>116 Huntington Ave, BOSTON, MA, 02116-5749 US</v>
    <v>220.21</v>
    <v>Residential &amp; Commercial REIT</v>
    <v>Stock</v>
    <v>44884.041171642966</v>
    <v>44</v>
    <v>214.63</v>
    <v>100538200000</v>
    <v>AMERICAN TOWER CORPORATION</v>
    <v>AMERICAN TOWER CORPORATION</v>
    <v>217.63</v>
    <v>34.337200000000003</v>
    <v>216.34</v>
    <v>215.93</v>
    <v>215.95</v>
    <v>465605600</v>
    <v>AMT</v>
    <v>AMERICAN TOWER CORPORATION (XNYS:AMT)</v>
    <v>2360692</v>
    <v>2283767</v>
    <v>1996</v>
  </rv>
  <rv s="2">
    <v>45</v>
  </rv>
  <rv s="0">
    <v>https://www.bing.com/financeapi/forcetrigger?t=a1xg3m&amp;q=XNYS%3aMDT&amp;form=skydnc</v>
    <v>Learn more on Bing</v>
  </rv>
  <rv s="3">
    <v>en-US</v>
    <v>a1xg3m</v>
    <v>268435456</v>
    <v>1</v>
    <v>Powered by Refinitiv</v>
    <v>5</v>
    <v>MEDTRONIC PUBLIC LIMITED COMPANY (XNYS:MDT)</v>
    <v>2</v>
    <v>6</v>
    <v>Finance</v>
    <v>10</v>
    <v>118.8</v>
    <v>79.194999999999993</v>
    <v>0.77010000000000001</v>
    <v>1.36</v>
    <v>3.444E-3</v>
    <v>1.7013E-2</v>
    <v>0.28000000000000003</v>
    <v>USD</v>
    <v>Medtronic plc is a global healthcare technology company. The Company develops, manufactures, and markets its medical devices and technologies to hospitals, physicians, clinicians, and patients. Its operating segments include Cardiovascular, Medical Surgical, Neuroscience and Diabetes. Cardiovascular products include pacemakers, insertable cardiac monitors, and cardiac resynchronization therapy devices. Medical Surgical products include patient care from diagnosis to recovery, with a focus on diseases of the gastrointestinal tract, lungs, pelvic region, kidneys, obesity, and preventable complications. Neuroscience products include various spinal implants, bone graft substitutes, biologic products, image-guided surgery and intra-operative imaging systems. Diabetes products include insulin pumps, continuous glucose monitoring (CGM) systems, consumables, and smart insulin pen systems. It also provides PROPEL and SINUVA. The Company is focused on cardiac ablation portfolio.</v>
    <v>95000</v>
    <v>New York Stock Exchange</v>
    <v>XNYS</v>
    <v>XNYS</v>
    <v>20 On Hatch, Hatch Street Lower, DUBLIN, DUBLIN IE</v>
    <v>81.63</v>
    <v>Healthcare Equipment &amp; Supplies</v>
    <v>Stock</v>
    <v>44884.040081978907</v>
    <v>47</v>
    <v>79.510000000000005</v>
    <v>108060200000</v>
    <v>MEDTRONIC PUBLIC LIMITED COMPANY</v>
    <v>MEDTRONIC PUBLIC LIMITED COMPANY</v>
    <v>79.72</v>
    <v>20.671500000000002</v>
    <v>79.94</v>
    <v>81.3</v>
    <v>81.58</v>
    <v>1329153000</v>
    <v>MDT</v>
    <v>MEDTRONIC PUBLIC LIMITED COMPANY (XNYS:MDT)</v>
    <v>9028616</v>
    <v>6651821</v>
    <v>2014</v>
  </rv>
  <rv s="2">
    <v>48</v>
  </rv>
  <rv s="0">
    <v>https://www.bing.com/financeapi/forcetrigger?t=a24xlh&amp;q=XNYS%3aUNH&amp;form=skydnc</v>
    <v>Learn more on Bing</v>
  </rv>
  <rv s="3">
    <v>en-GB</v>
    <v>a24xlh</v>
    <v>268435456</v>
    <v>1</v>
    <v>Powered by Refinitiv</v>
    <v>5</v>
    <v>UNITEDHEALTH GROUP INCORPORATED (XNYS:UNH)</v>
    <v>2</v>
    <v>6</v>
    <v>Finance</v>
    <v>10</v>
    <v>558.1</v>
    <v>436</v>
    <v>0.74439999999999995</v>
    <v>14.69</v>
    <v>-3.7740000000000001E-4</v>
    <v>2.8506999999999998E-2</v>
    <v>-0.2</v>
    <v>USD</v>
    <v>UnitedHealth Group Incorporated is a diversified health care company that operates Optum and UnitedHealthcare platforms. The Company’s segments include Optum Health, Optum Insight, Optum Rx and UnitedHealthcare. Optum Health provides health and wellness care, addressing the physical, emotional and health-related financial needs. Optum Health, through its national health care delivery platform, engages people in care settings, including clinical sites, in-home and virtual. Optum Insight serves the needs of health systems, such as physicians and hospital systems, health plans, state governments and life sciences companies. Optum Rx provides a range of pharmacy care services through retail pharmacies, specialty and community health pharmacies and provides in-home and community-based infusion services. UnitedHealthcare segment includes UnitedHealthcare Employer &amp; Individual, UnitedHealthcare Medicare &amp; Retirement, UnitedHealthcare Community &amp; State and UnitedHealthcare Global.</v>
    <v>350000</v>
    <v>New York Stock Exchange</v>
    <v>XNYS</v>
    <v>XNYS</v>
    <v>9900 Bren Rd E, HOPKINS, MN, 55343-9664 US</v>
    <v>532.995</v>
    <v>Healthcare Providers &amp; Services</v>
    <v>Stock</v>
    <v>44884.041487753908</v>
    <v>50</v>
    <v>519.45910000000003</v>
    <v>495205000000</v>
    <v>UNITEDHEALTH GROUP INCORPORATED</v>
    <v>UNITEDHEALTH GROUP INCORPORATED</v>
    <v>522.12</v>
    <v>25.241399999999999</v>
    <v>515.30999999999995</v>
    <v>530</v>
    <v>529.79999999999995</v>
    <v>934349100</v>
    <v>UNH</v>
    <v>UNITEDHEALTH GROUP INCORPORATED (XNYS:UNH)</v>
    <v>3566312</v>
    <v>3319148</v>
    <v>2015</v>
  </rv>
  <rv s="2">
    <v>51</v>
  </rv>
  <rv s="0">
    <v>https://www.bing.com/financeapi/forcetrigger?t=a1ww5r&amp;q=XNYS%3aLH&amp;form=skydnc</v>
    <v>Learn more on Bing</v>
  </rv>
  <rv s="3">
    <v>en-GB</v>
    <v>a1ww5r</v>
    <v>268435456</v>
    <v>1</v>
    <v>Powered by Refinitiv</v>
    <v>5</v>
    <v>LABORATORY CORPORATION OF AMERICA HOLDINGS (XNYS:LH)</v>
    <v>2</v>
    <v>6</v>
    <v>Finance</v>
    <v>10</v>
    <v>317.17</v>
    <v>200.32</v>
    <v>1.0660000000000001</v>
    <v>-2.79</v>
    <v>-2.5629999999999997E-3</v>
    <v>-1.1976000000000001E-2</v>
    <v>-0.59</v>
    <v>USD</v>
    <v>Laboratory Corporation of America Holdings is a global life sciences company. The Company provides information to help doctors, hospitals, pharmaceutical companies, researchers, and patients make decisions. Its segments include Labcorp Diagnostics (Dx) and Labcorp Drug Development (DD). The Dx segment is an independent clinical laboratory business. It offers a menu of frequently requested and specialty diagnostic tests through an integrated network of primary and specialty laboratories across the United States. In addition to diagnostic testing along with occupational and wellness testing for employers and forensic DNA analysis, Dx segment also offers a range of other testing services. The DD segment is a contract research organizations (CRO) business that provides end-to-end drug development services. The DD segment provides these services predominantly to pharmaceutical, biotechnology and medical device companies across the world. It serves clients in more than 100 countries.</v>
    <v>75500</v>
    <v>New York Stock Exchange</v>
    <v>XNYS</v>
    <v>XNYS</v>
    <v>358 S MAIN ST, BURLINGTON, NC, 27215-5837 US</v>
    <v>236.98</v>
    <v>Healthcare Providers &amp; Services</v>
    <v>Stock</v>
    <v>44884.000000022657</v>
    <v>53</v>
    <v>227.2852</v>
    <v>20393950000</v>
    <v>LABORATORY CORPORATION OF AMERICA HOLDINGS</v>
    <v>LABORATORY CORPORATION OF AMERICA HOLDINGS</v>
    <v>235.24</v>
    <v>12.4381</v>
    <v>232.97</v>
    <v>230.18</v>
    <v>229.59</v>
    <v>88600000</v>
    <v>LH</v>
    <v>LABORATORY CORPORATION OF AMERICA HOLDINGS (XNYS:LH)</v>
    <v>946102</v>
    <v>979274</v>
    <v>1994</v>
  </rv>
  <rv s="2">
    <v>54</v>
  </rv>
  <rv s="0">
    <v>https://www.bing.com/financeapi/forcetrigger?t=a24bsm&amp;q=XNYS%3aTMO&amp;form=skydnc</v>
    <v>Learn more on Bing</v>
  </rv>
  <rv s="3">
    <v>en-GB</v>
    <v>a24bsm</v>
    <v>268435456</v>
    <v>1</v>
    <v>Powered by Refinitiv</v>
    <v>5</v>
    <v>THERMO FISHER SCIENTIFIC INC. (XNYS:TMO)</v>
    <v>2</v>
    <v>6</v>
    <v>Finance</v>
    <v>10</v>
    <v>672.34</v>
    <v>475.77</v>
    <v>0.83560000000000001</v>
    <v>5.35</v>
    <v>0</v>
    <v>1.0096000000000001E-2</v>
    <v>0</v>
    <v>USD</v>
    <v>Thermo Fisher Scientific Inc. develops, manufactures and sells a range of products. The Company segments include Life Sciences Solutions, Analytical Instruments, Specialty Diagnostics, and Laboratory Products and Services. The Company offers its products and services through various brands, including Thermo Scientific, Applied Biosystems, Invitrogen, Fisher Scientific, Unity Lab Services, Patheon and PPD. Life Sciences Solutions segment provides a portfolio of reagents, instruments and consumables used in biological and medical research, discovery and production of new drugs and vaccines. Analytical Instruments segment provides a broad offering of instruments, consumables, software and services that are used for applications in the laboratory. Specialty Diagnostics segment offers a wide range of diagnostic test kits, reagents, culture media, instruments and associated products. Its Laboratory Products and Services segment offers products and solutions needed for the laboratory.</v>
    <v>130000</v>
    <v>New York Stock Exchange</v>
    <v>XNYS</v>
    <v>XNYS</v>
    <v>168 Third Avenue, WALTHAM, MA, 02451 US</v>
    <v>543.16</v>
    <v>Healthcare Equipment &amp; Supplies</v>
    <v>Stock</v>
    <v>44883.936866469528</v>
    <v>56</v>
    <v>529.375</v>
    <v>209918800000</v>
    <v>THERMO FISHER SCIENTIFIC INC.</v>
    <v>THERMO FISHER SCIENTIFIC INC.</v>
    <v>541.30999999999995</v>
    <v>29.782399999999999</v>
    <v>529.89</v>
    <v>535.24</v>
    <v>535.24</v>
    <v>392195600</v>
    <v>TMO</v>
    <v>THERMO FISHER SCIENTIFIC INC. (XNYS:TMO)</v>
    <v>1228403</v>
    <v>1862685</v>
    <v>1960</v>
  </rv>
  <rv s="2">
    <v>57</v>
  </rv>
  <rv s="0">
    <v>https://www.bing.com/financeapi/forcetrigger?t=a25k5r&amp;q=XNAS%3aVRTX&amp;form=skydnc</v>
    <v>Learn more on Bing</v>
  </rv>
  <rv s="3">
    <v>en-GB</v>
    <v>a25k5r</v>
    <v>268435456</v>
    <v>1</v>
    <v>Powered by Refinitiv</v>
    <v>5</v>
    <v>VERTEX PHARMACEUTICALS INCORPORATED (XNAS:VRTX)</v>
    <v>2</v>
    <v>6</v>
    <v>Finance</v>
    <v>10</v>
    <v>318.38</v>
    <v>179.96</v>
    <v>0.437</v>
    <v>4.7300000000000004</v>
    <v>4.0360000000000005E-3</v>
    <v>1.5263000000000001E-2</v>
    <v>1.27</v>
    <v>USD</v>
    <v>Vertex Pharmaceuticals Incorporated is a global biotechnology company. The Company is focused on developing medicines that treat the underlying cause of cystic fibrosis (CF) and it has several ongoing clinical and research programs to advance and extend treatment of CF. The Company's marketed medicines are TRIKAFTA/KAFTRIO (elexacaftor/tezacaftor/ivacaftor and ivacaftor), SYMDEKO/SYMKEVI (tezacaftor/ivacaftor and ivacaftor), ORKAMBI (lumacaftor/ivacaftor) and KALYDECO (ivacaftor). Its four medicines are being used to treat the people with CF in North America, Europe and Australia. The Company has a pipeline of investigational therapies in other serious diseases where it is leveraging insight into causal human biology, including sickle cell disease, beta thalassemia, APOL1-mediated kidney disease, type 1 diabetes, pain, alpha-1 antitrypsin deficiency, and muscular dystrophies. The Company’s other pipeline products include CTX001, VX-147, VX-121, VX-561, VX-548, and VX-880.</v>
    <v>3900</v>
    <v>Nasdaq Stock Market</v>
    <v>XNAS</v>
    <v>XNAS</v>
    <v>50 Northern Avenue, BOSTON, MA, 02210 US</v>
    <v>315.54000000000002</v>
    <v>Biotechnology &amp; Medical Research</v>
    <v>Stock</v>
    <v>44884.041353182809</v>
    <v>59</v>
    <v>311.13</v>
    <v>80762830000</v>
    <v>VERTEX PHARMACEUTICALS INCORPORATED</v>
    <v>VERTEX PHARMACEUTICALS INCORPORATED</v>
    <v>311.63</v>
    <v>24.458100000000002</v>
    <v>309.89999999999998</v>
    <v>314.63</v>
    <v>315.89999999999998</v>
    <v>256691400</v>
    <v>VRTX</v>
    <v>VERTEX PHARMACEUTICALS INCORPORATED (XNAS:VRTX)</v>
    <v>1172734</v>
    <v>1537008</v>
    <v>1989</v>
  </rv>
  <rv s="2">
    <v>60</v>
  </rv>
  <rv s="0">
    <v>https://www.bing.com/financeapi/forcetrigger?t=a21uim&amp;q=XNAS%3aREGN&amp;form=skydnc</v>
    <v>Learn more on Bing</v>
  </rv>
  <rv s="3">
    <v>en-GB</v>
    <v>a21uim</v>
    <v>268435456</v>
    <v>1</v>
    <v>Powered by Refinitiv</v>
    <v>5</v>
    <v>REGENERON PHARMACEUTICALS, INC. (XNAS:REGN)</v>
    <v>2</v>
    <v>6</v>
    <v>Finance</v>
    <v>10</v>
    <v>769.63</v>
    <v>538.01</v>
    <v>0.20880000000000001</v>
    <v>-2.35</v>
    <v>-4.2079999999999998E-4</v>
    <v>-3.1800000000000001E-3</v>
    <v>-0.31</v>
    <v>USD</v>
    <v>Regeneron Pharmaceuticals, Inc. is an integrated biotechnology company that discovers, invents, develops, manufactures, and commercializes medicines for serious diseases. Its commercialized medicines and product candidates in development are designed to help patients with eye diseases, allergic and inflammatory diseases, cancer, cardiovascular and metabolic diseases, pain, hematologic conditions, infectious diseases, and rare diseases. Its marketed products include EYLEA (aflibercept) Injection, Dupixent (dupilumab) Injection, Libtayo (cemiplimab) Injection, Praluent (alirocumab) Injection, REGEN-COV, Kevzara (sarilumab) Solution for Subcutaneous Injection, Evkeeza (evinacumab) Injection, Inmazeb (atoltivimab, maftivimab, and odesivimab-ebgn) Injection, ARCALYST (rilonacept) Injection for Subcutaneous Use and ZALTRAP (ziv-aflibercept) Injection for Intravenous Infusion. It also provides Expresse service assurance and CloudCheck WiFi experience management solutions.</v>
    <v>10368</v>
    <v>Nasdaq Stock Market</v>
    <v>XNAS</v>
    <v>XNAS</v>
    <v>777 Old Saw Mill River Road, TARRYTOWN, NY, 10591 US</v>
    <v>745.4</v>
    <v>Biotechnology &amp; Medical Research</v>
    <v>Stock</v>
    <v>44883.983609212497</v>
    <v>62</v>
    <v>728.14</v>
    <v>80231320000</v>
    <v>REGENERON PHARMACEUTICALS, INC.</v>
    <v>REGENERON PHARMACEUTICALS, INC.</v>
    <v>737.32</v>
    <v>15.5909</v>
    <v>739.08</v>
    <v>736.73</v>
    <v>736.42</v>
    <v>108901900</v>
    <v>REGN</v>
    <v>REGENERON PHARMACEUTICALS, INC. (XNAS:REGN)</v>
    <v>496643</v>
    <v>728550</v>
    <v>1988</v>
  </rv>
  <rv s="2">
    <v>63</v>
  </rv>
  <rv s="0">
    <v>https://www.bing.com/financeapi/forcetrigger?t=a1vb5r&amp;q=XNAS%3aIDXX&amp;form=skydnc</v>
    <v>Learn more on Bing</v>
  </rv>
  <rv s="3">
    <v>en-GB</v>
    <v>a1vb5r</v>
    <v>268435456</v>
    <v>1</v>
    <v>Powered by Refinitiv</v>
    <v>5</v>
    <v>IDEXX LABORATORIES, INC. (XNAS:IDXX)</v>
    <v>2</v>
    <v>6</v>
    <v>Finance</v>
    <v>10</v>
    <v>664.7</v>
    <v>317.06</v>
    <v>1.1626000000000001</v>
    <v>3.45</v>
    <v>0</v>
    <v>8.4060000000000003E-3</v>
    <v>0</v>
    <v>USD</v>
    <v>IDEXX Laboratories, Inc. develops, manufactures and distributes products and provides services for the companion animal veterinary, livestock and poultry, dairy and water testing markets. It also offers human medical point-of-care &amp; laboratory diagnostics. Its products include health monitoring, others. Its segments include Companion Animal Group (CAG), Water quality products (Water), and Livestock, Poultry and Dairy (LPD). The CAG segment CAG develops, designs, manufactures, and distributes products and performs services for veterinarians and the biomedical analytics market, primarily related to diagnostics and information management. The Water segment develops, designs, manufactures, and distributes a range of products used in the detection of various microbiological parameters in water. The LPD segment develops, designs, manufactures, and distributes diagnostic tests and related instrumentation and performs services that are used to manage the health status of livestock and poultry.</v>
    <v>10350</v>
    <v>Nasdaq Stock Market</v>
    <v>XNAS</v>
    <v>XNAS</v>
    <v>One Idexx Drive, WESTBROOK, ME, 04092-2041 US</v>
    <v>416.62</v>
    <v>Healthcare Equipment &amp; Supplies</v>
    <v>Stock</v>
    <v>44883.887386943752</v>
    <v>65</v>
    <v>408.45749999999998</v>
    <v>34277110000</v>
    <v>IDEXX LABORATORIES, INC.</v>
    <v>IDEXX LABORATORIES, INC.</v>
    <v>414.09</v>
    <v>52.201099999999997</v>
    <v>410.44</v>
    <v>413.89</v>
    <v>413.89</v>
    <v>82816960</v>
    <v>IDXX</v>
    <v>IDEXX LABORATORIES, INC. (XNAS:IDXX)</v>
    <v>343983</v>
    <v>550802</v>
    <v>1983</v>
  </rv>
  <rv s="2">
    <v>66</v>
  </rv>
  <rv s="0">
    <v>https://www.bing.com/financeapi/forcetrigger?t=a242z2&amp;q=XNYS%3aTDOC&amp;form=skydnc</v>
    <v>Learn more on Bing</v>
  </rv>
  <rv s="3">
    <v>en-GB</v>
    <v>a242z2</v>
    <v>268435456</v>
    <v>1</v>
    <v>Powered by Refinitiv</v>
    <v>5</v>
    <v>Teladoc Health, Inc. (XNYS:TDOC)</v>
    <v>2</v>
    <v>6</v>
    <v>Finance</v>
    <v>10</v>
    <v>119.98</v>
    <v>23.08</v>
    <v>0.95299999999999996</v>
    <v>-1.17</v>
    <v>2.0839999999999999E-3</v>
    <v>-3.9051999999999996E-2</v>
    <v>0.06</v>
    <v>USD</v>
    <v>Teladoc Health, Inc. provides virtual healthcare services. The Company operates in health services segment. The Company provides virtual access to care with a portfolio of services and solutions, which includes various medical subspecialties from non-urgent, episodic needs, such as flu and upper respiratory infections, to chronic, complicated medical conditions, such as hypertension, cancer and congestive heart failure. It provides provide virtual healthcare services on a business-to-business (B2B) basis to its clients including employers, health plans, hospitals and health systems, and insurance and financial services companies spanning the global healthcare landscape and provide services to consumers directly and through channel partners. The Company’s consumer brands, including Teladoc, Livongo, Advance Medical, Best Doctors, BetterHelp and HealthiestYou, provides access to advice and resolution for an array of healthcare needs.</v>
    <v>5100</v>
    <v>New York Stock Exchange</v>
    <v>XNYS</v>
    <v>XNYS</v>
    <v>2 Manhattanville Rd Ste 203, PURCHASE, NY, 10577-2118 US</v>
    <v>30.89</v>
    <v>Healthcare Providers &amp; Services</v>
    <v>Stock</v>
    <v>44884.040623911722</v>
    <v>68</v>
    <v>28.331499999999998</v>
    <v>4661881000</v>
    <v>Teladoc Health, Inc.</v>
    <v>Teladoc Health, Inc.</v>
    <v>30.6</v>
    <v>0</v>
    <v>29.96</v>
    <v>28.79</v>
    <v>28.85</v>
    <v>161927100</v>
    <v>TDOC</v>
    <v>Teladoc Health, Inc. (XNYS:TDOC)</v>
    <v>3314680</v>
    <v>5074793</v>
    <v>2008</v>
  </rv>
  <rv s="2">
    <v>69</v>
  </rv>
  <rv s="0">
    <v>https://www.bing.com/financeapi/forcetrigger?t=a1uhnm&amp;q=XNYS%3aHCA&amp;form=skydnc</v>
    <v>Learn more on Bing</v>
  </rv>
  <rv s="3">
    <v>en-US</v>
    <v>a1uhnm</v>
    <v>268435456</v>
    <v>1</v>
    <v>Powered by Refinitiv</v>
    <v>5</v>
    <v>HCA HEALTHCARE, INC. (XNYS:HCA)</v>
    <v>2</v>
    <v>6</v>
    <v>Finance</v>
    <v>7</v>
    <v>279.02</v>
    <v>164.47</v>
    <v>1.6950000000000001</v>
    <v>2.95</v>
    <v>8.6929999999999996E-5</v>
    <v>1.2978E-2</v>
    <v>0.02</v>
    <v>USD</v>
    <v>HCA Healthcare, Inc. is a holding company. The Company, through its subsidiaries, owns and operates hospitals and related healthcare entities. It owns and operates approximately 182 hospitals, comprised of 175 general, acute care hospitals; five psychiatric hospitals; and two rehabilitation hospitals. The Company also operates around 125 freestanding surgery centers and over 21 freestanding endoscopy centers. The Company operates in two geographically organized groups: The National and American Groups. The National Group includes 96 hospitals located in Alaska, California, Florida, Georgia, Idaho, Indiana, northern Kentucky, Nevada, New Hampshire, North Carolina, South Carolina, Utah and Virginia. The American Group includes approximately 79 hospitals located in Colorado, Kansas, southern Kentucky, Louisiana, Missouri, Tennessee and Texas. The Company also operates seven hospitals in England. Its facilities are located in over 20 states and England.</v>
    <v>204000</v>
    <v>New York Stock Exchange</v>
    <v>XNYS</v>
    <v>XNYS</v>
    <v>1 Park Plz, NASHVILLE, TN, 37203-6527 US</v>
    <v>233.16</v>
    <v>Healthcare Providers &amp; Services</v>
    <v>Stock</v>
    <v>44884.011915485935</v>
    <v>71</v>
    <v>228.57</v>
    <v>65047460000</v>
    <v>HCA HEALTHCARE, INC.</v>
    <v>HCA HEALTHCARE, INC.</v>
    <v>230.83</v>
    <v>12.8353</v>
    <v>227.3</v>
    <v>230.25</v>
    <v>230.1</v>
    <v>282716700</v>
    <v>HCA</v>
    <v>HCA HEALTHCARE, INC. (XNYS:HCA)</v>
    <v>1085831</v>
    <v>1710587</v>
    <v>2010</v>
  </rv>
  <rv s="2">
    <v>72</v>
  </rv>
  <rv s="0">
    <v>https://www.bing.com/financeapi/forcetrigger?t=af8b52&amp;q=XFRA%3aDPW&amp;form=skydnc</v>
    <v>Learn more on Bing</v>
  </rv>
  <rv s="1">
    <v>en-US</v>
    <v>af8b52</v>
    <v>268435456</v>
    <v>1</v>
    <v>Powered by Refinitiv</v>
    <v>0</v>
    <v>Deutsche Post AG (XFRA:DPW)</v>
    <v>2</v>
    <v>3</v>
    <v>Finance</v>
    <v>4</v>
    <v>61.28</v>
    <v>19</v>
    <v>1.077</v>
    <v>0.34</v>
    <v>8.856000000000001E-3</v>
    <v>EUR</v>
    <v>Deutsche Post AG is a Germany-based provider of postal services. The Company operates through four operating segments: Post - eCommerce - Parcel, Express, Global Forwarding, Freight, and Supply Chain. The Post - eCommerce - Parcel segment handles both domestic and international mail and provides dialogue marketing, nationwide press distribution services and all electronic services associated with mail delivery. The Express segment offers courier and express services to business and private customers. The Global Forwarding and Freight segment comprises the transportation of goods by rail, road, air and sea. The Supply Chain segment focuses on the delivery of customized logistics solutions, including warehousing, transport and value-added services.</v>
    <v>590386</v>
    <v>Deutsche Boerse AG</v>
    <v>XFRA</v>
    <v>XFRA</v>
    <v>Charles-de-Gaulle-Strasse 20, BONN, NORDRHEIN-WESTFALEN, 53113 DE</v>
    <v>39.1</v>
    <v>Freight &amp; Logistics Services</v>
    <v>Stock</v>
    <v>44883.878472222219</v>
    <v>74</v>
    <v>38.445</v>
    <v>47933010000</v>
    <v>Deutsche Post AG</v>
    <v>Deutsche Post AG</v>
    <v>38.445</v>
    <v>8.4700000000000006</v>
    <v>38.39</v>
    <v>38.729999999999997</v>
    <v>1239059000</v>
    <v>DPW</v>
    <v>Deutsche Post AG (XFRA:DPW)</v>
    <v>5302</v>
    <v>3176360</v>
    <v>1995</v>
  </rv>
  <rv s="2">
    <v>75</v>
  </rv>
  <rv s="0">
    <v>https://www.bing.com/financeapi/forcetrigger?t=aaz7m7&amp;q=XTSE%3aMG&amp;form=skydnc</v>
    <v>Learn more on Bing</v>
  </rv>
  <rv s="3">
    <v>en-US</v>
    <v>aaz7m7</v>
    <v>268435456</v>
    <v>1</v>
    <v>Powered by Refinitiv</v>
    <v>5</v>
    <v>Magna International Inc. (XTSE:MG)</v>
    <v>2</v>
    <v>13</v>
    <v>Finance</v>
    <v>14</v>
    <v>112.61499999999999</v>
    <v>63.55</v>
    <v>1.585</v>
    <v>0.86</v>
    <v>0</v>
    <v>1.0475000000000002E-2</v>
    <v>0</v>
    <v>CAD</v>
    <v>Magna International Inc. is a Canada-based global automotive supplier. The Company has complete vehicle engineering and contract manufacturing expertise, as well as product capabilities which include body, chassis, exterior, seating, powertrain, active driver assistance, electronics, mechatronics, mirrors, lighting, and roof systems. The Company's segments include Body Exteriors &amp; Structures; Power &amp; Vision; Seating Systems; and Complete Vehicles. Its Body Exteriors &amp; Structures include body structures, chassis structures, exterior systems &amp; modules, trim and engineered glass, active aerodynamics, and energy storage systems. Its Power &amp; Vision products include electrified powertrain technologies, conventional powertrain technologies, powertrain subsystems, components and more. Its Complete Vehicles consist of complete vehicle engineering and complete vehicle manufacturing. The Company's global network includes 345 manufacturing operations and 90 product development.</v>
    <v>170000</v>
    <v>Toronto Stock Exchange</v>
    <v>XTSE</v>
    <v>XTSE</v>
    <v>337 Magna Drive, AURORA, ON, L4G 7K1 CA</v>
    <v>84.16</v>
    <v>Automobiles &amp; Auto Parts</v>
    <v>Stock</v>
    <v>44883.875</v>
    <v>77</v>
    <v>82.43</v>
    <v>23814770000</v>
    <v>Magna International Inc.</v>
    <v>Magna International Inc.</v>
    <v>83.3</v>
    <v>18.41</v>
    <v>82.1</v>
    <v>82.96</v>
    <v>82.96</v>
    <v>285819200</v>
    <v>MG</v>
    <v>Magna International Inc. (XTSE:MG)</v>
    <v>550528</v>
    <v>858970</v>
    <v>1961</v>
  </rv>
  <rv s="2">
    <v>78</v>
  </rv>
  <rv s="0">
    <v>https://www.bing.com/financeapi/forcetrigger?t=af9doc&amp;q=XFRA%3aEOAN&amp;form=skydnc</v>
    <v>Learn more on Bing</v>
  </rv>
  <rv s="1">
    <v>en-US</v>
    <v>af9doc</v>
    <v>268435456</v>
    <v>1</v>
    <v>Powered by Refinitiv</v>
    <v>0</v>
    <v>E ON SE (XFRA:EOAN)</v>
    <v>2</v>
    <v>3</v>
    <v>Finance</v>
    <v>4</v>
    <v>12.538</v>
    <v>7.3</v>
    <v>0.60409999999999997</v>
    <v>0.17799999999999999</v>
    <v>1.9973000000000001E-2</v>
    <v>EUR</v>
    <v>E.ON SE is a Germany-based energy company. The Company's business activities are divided into four core segments: Energy Networks, Customer Solutions, innogy and Renewables. The Energy Networks segment consists of its power and gas distribution networks and related activities. The Customer Solutions segment serves as the platform for working with its customers to shape Europe's energy transition, supplying power, gas and heat. The Innogy segment consists of the network and sales businesses, as well as the corporate functions and internal services of the innogy Group. The Renewables segment builds, operates and manages wind and solar generation assets. In addition, it has a nuclear power business in Germany, which is operated by its subsidiary PreussenElektra and is not a strategic business. The Company’s customers are residential, small and medium-sized enterprises, industrial and commercial and public entities.</v>
    <v>68535</v>
    <v>Deutsche Boerse AG</v>
    <v>XFRA</v>
    <v>XFRA</v>
    <v>Bruesseler Platz 1, ESSEN, NORDRHEIN-WESTFALEN, 45131 DE</v>
    <v>9.14</v>
    <v>Multiline Utilities</v>
    <v>Stock</v>
    <v>44883.878472222219</v>
    <v>80</v>
    <v>8.9320000000000004</v>
    <v>24078260000</v>
    <v>E ON SE</v>
    <v>E ON SE</v>
    <v>8.9320000000000004</v>
    <v>5.95</v>
    <v>8.9120000000000008</v>
    <v>9.09</v>
    <v>2641319000</v>
    <v>EOAN</v>
    <v>E ON SE (XFRA:EOAN)</v>
    <v>41017</v>
    <v>5853140</v>
    <v>2017</v>
  </rv>
  <rv s="2">
    <v>81</v>
  </rv>
  <rv s="0">
    <v>https://www.bing.com/financeapi/forcetrigger?t=a1nda2&amp;q=XNAS%3aAMAT&amp;form=skydnc</v>
    <v>Learn more on Bing</v>
  </rv>
  <rv s="3">
    <v>en-GB</v>
    <v>a1nda2</v>
    <v>268435456</v>
    <v>1</v>
    <v>Powered by Refinitiv</v>
    <v>5</v>
    <v>APPLIED MATERIALS, INC. (XNAS:AMAT)</v>
    <v>2</v>
    <v>6</v>
    <v>Finance</v>
    <v>10</v>
    <v>167.06</v>
    <v>71.12</v>
    <v>1.5199</v>
    <v>0.25</v>
    <v>2.3879999999999999E-3</v>
    <v>2.3930000000000002E-3</v>
    <v>0.25</v>
    <v>USD</v>
    <v>Applied Materials, Inc. provides manufacturing equipment, services and software to the semiconductor, display, and related industries. The Company operates through three segments: Semiconductor Systems, Applied Global Services, and Display and Adjacent Markets. Its Semiconductor Systems segment primarily consists of capital equipment used to fabricate semiconductor chips. Its Applied Global Services segment provides integrated solutions to optimize equipment and fab performance and productivity, including spares, upgrades, services, certain remanufactured old equipment and factory automation software for semiconductor, display and solar products. Its Display and Adjacent Markets segment includes products for manufacturing liquid crystal and organic light-emitting diode (OLED) displays, and other display technologies for televisions, monitors, laptops, personal computers, electronic tablets, smart phones, and other consumer-oriented devices and equipment upgrades.</v>
    <v>27000</v>
    <v>Nasdaq Stock Market</v>
    <v>XNAS</v>
    <v>XNAS</v>
    <v>3050 Bowers Ave, SANTA CLARA, CA, 95054-3299 US</v>
    <v>110</v>
    <v>Semiconductors &amp; Semiconductor Equipment</v>
    <v>Stock</v>
    <v>44884.04076369141</v>
    <v>83</v>
    <v>103.645</v>
    <v>90074390000</v>
    <v>APPLIED MATERIALS, INC.</v>
    <v>APPLIED MATERIALS, INC.</v>
    <v>109.99</v>
    <v>14.0436</v>
    <v>104.45</v>
    <v>104.7</v>
    <v>104.95</v>
    <v>860309400</v>
    <v>AMAT</v>
    <v>APPLIED MATERIALS, INC. (XNAS:AMAT)</v>
    <v>10921081</v>
    <v>9522495</v>
    <v>1987</v>
  </rv>
  <rv s="2">
    <v>84</v>
  </rv>
  <rv s="0">
    <v>https://www.bing.com/financeapi/forcetrigger?t=ai42kr&amp;q=XDUB%3aCRG&amp;form=skydnc</v>
    <v>Learn more on Bing</v>
  </rv>
  <rv s="3">
    <v>en-GB</v>
    <v>ai42kr</v>
    <v>268435456</v>
    <v>1</v>
    <v>Powered by Refinitiv</v>
    <v>5</v>
    <v>CRH PUBLIC LIMITED COMPANY (XDUB:CRG)</v>
    <v>2</v>
    <v>15</v>
    <v>Finance</v>
    <v>16</v>
    <v>48.18</v>
    <v>16.3</v>
    <v>1.1513</v>
    <v>0.8</v>
    <v>0</v>
    <v>2.1493999999999999E-2</v>
    <v>0</v>
    <v>EUR</v>
    <v>CRH PLC is an Ireland-based company, which operates a building materials business in North America and Europe. The Company operates through three segments: Americas Materials, Europe Materials and Building Products. Its Americas Materials segment is engaged in the production and sale of aggregates, asphalt, cement, and ready mixed concrete products and provide asphalt paving services in the United States (US) and Canada. The Europe Materials segment is engaged in the manufacture and supply of cement, lime, aggregates, ready mixed and precast concrete, and asphalt products, as well as paving and construction services. It operates across Western, Central and Eastern Europe as well as the Philippines in Asia. The Company’s Building Products segment includes businesses operating across a portfolio of building product related platforms including architectural products, infrastructure products and construction accessories.</v>
    <v>77446</v>
    <v>Euronext Dublin</v>
    <v>XDUB</v>
    <v>XDUB</v>
    <v>Belgard Castle Clondalkin, DUBLIN, DUBLIN, D16 KH51 IE</v>
    <v>38.340000000000003</v>
    <v>Construction Materials</v>
    <v>Stock</v>
    <v>44883.708333333336</v>
    <v>86</v>
    <v>37.375</v>
    <v>24761090000</v>
    <v>CRH PUBLIC LIMITED COMPANY</v>
    <v>CRH PUBLIC LIMITED COMPANY</v>
    <v>37.524999999999999</v>
    <v>16.9954</v>
    <v>37.22</v>
    <v>38.020000000000003</v>
    <v>38.020000000000003</v>
    <v>748099900</v>
    <v>CRG</v>
    <v>CRH PUBLIC LIMITED COMPANY (XDUB:CRG)</v>
    <v>2221790</v>
    <v>665910</v>
    <v>1949</v>
  </rv>
  <rv s="2">
    <v>87</v>
  </rv>
  <rv s="0">
    <v>https://www.bing.com/financeapi/forcetrigger?t=a1nl77&amp;q=XNYS%3aAPD&amp;form=skydnc</v>
    <v>Learn more on Bing</v>
  </rv>
  <rv s="3">
    <v>en-GB</v>
    <v>a1nl77</v>
    <v>268435456</v>
    <v>1</v>
    <v>Powered by Refinitiv</v>
    <v>5</v>
    <v>AIR PRODUCTS AND CHEMICALS, INC. (XNYS:APD)</v>
    <v>2</v>
    <v>6</v>
    <v>Finance</v>
    <v>10</v>
    <v>309.28500000000003</v>
    <v>216.24</v>
    <v>0.82099999999999995</v>
    <v>3.18</v>
    <v>7.4200000000000004E-4</v>
    <v>1.0842000000000001E-2</v>
    <v>0.22</v>
    <v>USD</v>
    <v>Air Products and Chemicals, Inc. is an industrial gases company. The Company provides essential industrial gases, related equipment and applications to customers in various industries, including refining, chemical, metals, electronics, manufacturing, and food and beverage. The Company’s segments include Americas, Asia, Europe, and Middle East and India. The Company is also a supplier of liquefied natural gas process technology and equipment. The Company develops, engineers, builds, owns and operates industrial gas projects, including gasification projects, carbon capture projects,, and carbon-free hydrogen projects supporting global transportation and energy transition. It supplies various gases, such as argon, carbon dioxide, food gases, helium, hydrogen, oxygen, and nitrogen. Its applications include aeration, cooling, cryogenic freezing, filling, fire suppression, heat treating, hydrogen fueling, hydro processing, melting, inserting/blanketing, oxygen enrichment, and welding.</v>
    <v>20625</v>
    <v>New York Stock Exchange</v>
    <v>XNYS</v>
    <v>XNYS</v>
    <v>1940 Air Products Blvd., ALLENTOWN, PA, 18106-5500 US</v>
    <v>296.97750000000002</v>
    <v>Chemicals</v>
    <v>Stock</v>
    <v>44884.036884328125</v>
    <v>89</v>
    <v>293.56</v>
    <v>65758960000</v>
    <v>AIR PRODUCTS AND CHEMICALS, INC.</v>
    <v>AIR PRODUCTS AND CHEMICALS, INC.</v>
    <v>296</v>
    <v>29.0914</v>
    <v>293.3</v>
    <v>296.48</v>
    <v>296.7</v>
    <v>221799000</v>
    <v>APD</v>
    <v>AIR PRODUCTS AND CHEMICALS, INC. (XNYS:APD)</v>
    <v>1328210</v>
    <v>1184427</v>
    <v>1961</v>
  </rv>
  <rv s="2">
    <v>90</v>
  </rv>
  <rv s="0">
    <v>https://www.bing.com/financeapi/forcetrigger?t=a1x3ww&amp;q=XNYS%3aLPX&amp;form=skydnc</v>
    <v>Learn more on Bing</v>
  </rv>
  <rv s="3">
    <v>en-GB</v>
    <v>a1x3ww</v>
    <v>268435456</v>
    <v>1</v>
    <v>Powered by Refinitiv</v>
    <v>5</v>
    <v>LOUISIANA-PACIFIC CORPORATION (XNYS:LPX)</v>
    <v>2</v>
    <v>6</v>
    <v>Finance</v>
    <v>7</v>
    <v>79.77</v>
    <v>48.2</v>
    <v>1.6160000000000001</v>
    <v>0.34</v>
    <v>6.9740000000000002E-3</v>
    <v>5.5449999999999996E-3</v>
    <v>0.43</v>
    <v>USD</v>
    <v>Louisiana-Pacific Corporation is a provider of building solutions that meet the demands of builders, remodelers and homeowners. The Company’s segments include Siding, Oriented Strand Board (OSB), and South America. The Siding segment offers a range of products, including LP Siding Solutions (LP SmartSide Trim &amp; Siding, LP SmartSide ExpertFinish Trim &amp; Siding, LP BuilderSeries Lap Siding, and LP Outdoor Building Solutions), LP Structural Solutions (LP TechShield Radiant Barrier, LP WeatherLogic Air &amp; Water Barrier, LP Legacy Premium Sub-Flooring, and LP FlameBlock Fire-Rated Sheathing and more), LP TopNotch Sub-Flooring and Oriented Strand Board. The OSB segment manufactures and distributes OSB structural panel products, including its OSB portfolio known as LP Structural Solutions. The South American segment manufactures and distributes Oriented Strand Board and siding products in South America and certain export markets.</v>
    <v>4800</v>
    <v>New York Stock Exchange</v>
    <v>XNYS</v>
    <v>XNYS</v>
    <v>1610 WEST END AVE., SUITE 200, NASHVILLE, TN, 37203 US</v>
    <v>63.35</v>
    <v>Paper &amp; Forest Products</v>
    <v>Stock</v>
    <v>44884.035520346872</v>
    <v>92</v>
    <v>61.397500000000001</v>
    <v>4420742000</v>
    <v>LOUISIANA-PACIFIC CORPORATION</v>
    <v>LOUISIANA-PACIFIC CORPORATION</v>
    <v>62.55</v>
    <v>4.6029</v>
    <v>61.32</v>
    <v>61.66</v>
    <v>62.09</v>
    <v>71695450</v>
    <v>LPX</v>
    <v>LOUISIANA-PACIFIC CORPORATION (XNYS:LPX)</v>
    <v>951348</v>
    <v>996195</v>
    <v>1972</v>
  </rv>
  <rv s="2">
    <v>93</v>
  </rv>
  <rv s="0">
    <v>https://www.bing.com/financeapi/forcetrigger?t=af8esm&amp;q=XFRA%3aDTE&amp;form=skydnc</v>
    <v>Learn more on Bing</v>
  </rv>
  <rv s="1">
    <v>en-US</v>
    <v>af8esm</v>
    <v>268435456</v>
    <v>1</v>
    <v>Powered by Refinitiv</v>
    <v>0</v>
    <v>Deutsche Telekom AG (XFRA:DTE)</v>
    <v>2</v>
    <v>3</v>
    <v>Finance</v>
    <v>4</v>
    <v>19.765999999999998</v>
    <v>10.45</v>
    <v>0.68579999999999997</v>
    <v>0.34599999999999997</v>
    <v>1.8257000000000002E-2</v>
    <v>EUR</v>
    <v>Deutsche Telekom AG is a Germany-based company that provides information technology (IT) and telecommunications services. The Company's operating segments include Germany, consisting of fixed-network and mobile activities in Germany; United States, which consists of mobile activities in the United States market; Europe, consisting of fixed-network and mobile operations of the national companies in various European countries, such as Greece, Romania, Hungary, Poland, the Czech Republic, Croatia, Slovakia, Austria, Albania, Macedonia and Montenegro; Systems Solutions, which operates information and communication technology (ICT) systems for multinational corporations and public sector institutions; Group Development, comprising the entities T-Mobile Netherlands and Deutsche Funkturm (DFMG) and its equity investment in Stroeer SE &amp; Co. KGaA, and Group Headquarters &amp; Group Services, which consists of the operations of service headquarters and various other subsidiaries of the Company.</v>
    <v>207930</v>
    <v>Deutsche Boerse AG</v>
    <v>XFRA</v>
    <v>XFRA</v>
    <v>Friedrich-Ebert-Allee 140, BONN, NORDRHEIN-WESTFALEN, 53113 DE</v>
    <v>19.309999999999999</v>
    <v>Telecommunications Services</v>
    <v>Stock</v>
    <v>44883.878472222219</v>
    <v>95</v>
    <v>18.911999999999999</v>
    <v>96398220000</v>
    <v>Deutsche Telekom AG</v>
    <v>Deutsche Telekom AG</v>
    <v>18.97</v>
    <v>12.89</v>
    <v>18.952000000000002</v>
    <v>19.297999999999998</v>
    <v>4986458000</v>
    <v>DTE</v>
    <v>Deutsche Telekom AG (XFRA:DTE)</v>
    <v>41694</v>
    <v>8430500</v>
    <v>1995</v>
  </rv>
  <rv s="2">
    <v>96</v>
  </rv>
  <rv s="0">
    <v>https://www.bing.com/financeapi/forcetrigger?t=a1ygoc&amp;q=XNAS%3aNFLX&amp;form=skydnc</v>
    <v>Learn more on Bing</v>
  </rv>
  <rv s="3">
    <v>en-US</v>
    <v>a1ygoc</v>
    <v>268435456</v>
    <v>1</v>
    <v>Powered by Refinitiv</v>
    <v>5</v>
    <v>NETFLIX, INC. (XNAS:NFLX)</v>
    <v>2</v>
    <v>6</v>
    <v>Finance</v>
    <v>10</v>
    <v>679.48</v>
    <v>162.71</v>
    <v>1.2866</v>
    <v>-7.3</v>
    <v>-4.1669999999999999E-4</v>
    <v>-2.4722000000000001E-2</v>
    <v>-0.12</v>
    <v>USD</v>
    <v>Netflix, Inc. is an entertainment services company. The Company has paid streaming memberships in over 190 countries, and it allows members to watch a variety of television (TV) series, documentaries, feature films and mobile games across a variety of genres and languages. Its members can watch as much as they want, anytime, anywhere, on any Internet-connected screen. Members can play, pause and resume watching, without commercials. Additionally, the Company offers its digital versatile disk (DVD) -by-mail service in the United States. It offers a variety of streaming membership plans, the price of which varies by country and the features of the plan. The pricing of its plans ranges from U.S. dollar equivalent of approximately $2 to $27 per month. It members can watch streaming content through a host of Internet-connected devices, including TVs, digital video players, TV set-top boxes and mobile devices. It acquires, licenses and produces content, including original programming.</v>
    <v>11300</v>
    <v>Nasdaq Stock Market</v>
    <v>XNAS</v>
    <v>XNAS</v>
    <v>., 100 WINCHESTER CIRCLE, LOS GATOS, CA, 95032 US</v>
    <v>298</v>
    <v>Software &amp; IT Services</v>
    <v>Stock</v>
    <v>44884.041521909377</v>
    <v>98</v>
    <v>287</v>
    <v>128157000000</v>
    <v>NETFLIX, INC.</v>
    <v>NETFLIX, INC.</v>
    <v>297.33</v>
    <v>27.840900000000001</v>
    <v>295.27999999999997</v>
    <v>287.98</v>
    <v>287.86</v>
    <v>445020500</v>
    <v>NFLX</v>
    <v>NETFLIX, INC. (XNAS:NFLX)</v>
    <v>8400108</v>
    <v>14209009</v>
    <v>1997</v>
  </rv>
  <rv s="2">
    <v>99</v>
  </rv>
  <rv s="0">
    <v>https://www.bing.com/financeapi/forcetrigger?t=a1safr&amp;q=XNYS%3aETN&amp;form=skydnc</v>
    <v>Learn more on Bing</v>
  </rv>
  <rv s="3">
    <v>en-US</v>
    <v>a1safr</v>
    <v>268435456</v>
    <v>1</v>
    <v>Powered by Refinitiv</v>
    <v>5</v>
    <v>EATON CORPORATION PUBLIC LIMITED COMPANY (XNYS:ETN)</v>
    <v>2</v>
    <v>6</v>
    <v>Finance</v>
    <v>10</v>
    <v>174.905</v>
    <v>122.5</v>
    <v>1.1684000000000001</v>
    <v>2.38</v>
    <v>-3.091E-3</v>
    <v>1.4634000000000001E-2</v>
    <v>-0.51</v>
    <v>USD</v>
    <v>Eaton Corporation plc is a power management company. The Company's Electrical Americas segment consists of electrical components, industrial components, power distribution and assemblies, residential products, single phase power quality and connectivity, three phase power quality, and wiring devices, among others. The Electrical Global segment consists of electrical components, industrial components, power distribution and assemblies, single phase and three phase power quality, and services. The Vehicle segment is engaged in the design, manufacture, marketing, and supply of drivetrain, powertrain systems and critical components for cars, light trucks, and commercial vehicles. The Aerospace segment is a supplier of aerospace fuel, hydraulics, and pneumatic systems for commercial and military use, as well as filtration systems for industrial applications. The eMobility segment designs, manufactures, markets, and supplies, mechanical, electrical, and electronic components and systems.</v>
    <v>85947</v>
    <v>New York Stock Exchange</v>
    <v>XNYS</v>
    <v>XNYS</v>
    <v>Eaton Hse, 30 Pembroke Road, DUBLIN, IRELAND-NA IE</v>
    <v>165.12</v>
    <v>Machinery, Equipment &amp; Components</v>
    <v>Stock</v>
    <v>44884.000000022657</v>
    <v>101</v>
    <v>162.47999999999999</v>
    <v>65624480000</v>
    <v>EATON CORPORATION PUBLIC LIMITED COMPANY</v>
    <v>EATON CORPORATION PUBLIC LIMITED COMPANY</v>
    <v>164.27</v>
    <v>28.4679</v>
    <v>162.63</v>
    <v>165.01</v>
    <v>164.5</v>
    <v>397700000</v>
    <v>ETN</v>
    <v>EATON CORPORATION PUBLIC LIMITED COMPANY (XNYS:ETN)</v>
    <v>1870067</v>
    <v>2192618</v>
    <v>2012</v>
  </rv>
  <rv s="2">
    <v>102</v>
  </rv>
  <rv s="0">
    <v>https://www.bing.com/financeapi/forcetrigger?t=a1yv52&amp;q=XNAS%3aNVDA&amp;form=skydnc</v>
    <v>Learn more on Bing</v>
  </rv>
  <rv s="3">
    <v>en-US</v>
    <v>a1yv52</v>
    <v>268435456</v>
    <v>1</v>
    <v>Powered by Refinitiv</v>
    <v>5</v>
    <v>NVIDIA CORPORATION (XNAS:NVDA)</v>
    <v>2</v>
    <v>6</v>
    <v>Finance</v>
    <v>10</v>
    <v>346.47</v>
    <v>108.13</v>
    <v>1.7158</v>
    <v>-2.68</v>
    <v>-3.3750000000000004E-3</v>
    <v>-1.7094999999999999E-2</v>
    <v>-0.52</v>
    <v>USD</v>
    <v>NVIDIA Corporation is a personal computer (PC) gaming market. The Company’s segments include Graphics and Compute &amp; Networking. The Graphics segment includes GeForce graphics processing units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software for building three-dimensional (3D) designs and virtual worlds. The Compute &amp; Networking segment includes Data Center platforms and systems for artificial intelligence (AI), high-performance computing (HPC), and accelerated computing; Mellanox networking and interconnect solutions; automotive AI Cockpit, autonomous driving development agreements, and autonomous vehicle solutions; cryptocurrency mining processors (CMP); Jetson for robotics, and NVIDIA AI Enterprise.</v>
    <v>22473</v>
    <v>Nasdaq Stock Market</v>
    <v>XNAS</v>
    <v>XNAS</v>
    <v>2788 San Tomas Expressway, SANTA CLARA, CA, 95051 US</v>
    <v>160.02000000000001</v>
    <v>Semiconductors &amp; Semiconductor Equipment</v>
    <v>Stock</v>
    <v>44884.041652256252</v>
    <v>104</v>
    <v>151.20009999999999</v>
    <v>383684100000</v>
    <v>NVIDIA CORPORATION</v>
    <v>NVIDIA CORPORATION</v>
    <v>159.66</v>
    <v>66.681700000000006</v>
    <v>156.77000000000001</v>
    <v>154.09</v>
    <v>153.57</v>
    <v>2490000000</v>
    <v>NVDA</v>
    <v>NVIDIA CORPORATION (XNAS:NVDA)</v>
    <v>49207165</v>
    <v>57423540</v>
    <v>1998</v>
  </rv>
  <rv s="2">
    <v>105</v>
  </rv>
  <rv s="0">
    <v>https://www.bing.com/financeapi/forcetrigger?t=afkcu2&amp;q=XFRA%3aSAPA&amp;form=skydnc</v>
    <v>Learn more on Bing</v>
  </rv>
  <rv s="1">
    <v>en-US</v>
    <v>afkcu2</v>
    <v>268435456</v>
    <v>1</v>
    <v>Powered by Refinitiv</v>
    <v>0</v>
    <v>SAP SE (XFRA:SAPA)</v>
    <v>2</v>
    <v>17</v>
    <v>Finance</v>
    <v>4</v>
    <v>144</v>
    <v>79.239999999999995</v>
    <v>1.1188</v>
    <v>-3.4</v>
    <v>-3.177E-2</v>
    <v>EUR</v>
    <v>SAP SE (SAP) is a Germany-based company that offers enterprise application software. The Company operates through three segments: Applications, Technology &amp; Services segment, which is engaged in the sale of software licenses, subscriptions to its cloud applications, and related services, primarily support services and various professional services, and support services, as well as implementation services of its software products and education services on the use of its products; the SAP Business Network segment, which includes its cloud-based collaborative business networks and services relating to the SAP Business Network, including cloud applications, professional services and education services, as well as the Company markets and sells the cloud offerings developed by SAP Ariba, SAP Fieldglass and Concur, and the Customer Experience segment, which comprises on-premise and cloud-based products that run front office functions across the customer experience.</v>
    <v>112632</v>
    <v>Deutsche Boerse AG</v>
    <v>XFRA</v>
    <v>XFRA</v>
    <v>Dietmar-Hopp-Allee 16, WALLDORF, BADEN-WUERTTEMBERG, 69190 DE</v>
    <v>103.62</v>
    <v>Software &amp; IT Services</v>
    <v>Stock</v>
    <v>44883.878472222219</v>
    <v>107</v>
    <v>103</v>
    <v>133840500000</v>
    <v>SAP SE</v>
    <v>SAP SE</v>
    <v>103</v>
    <v>38.950000000000003</v>
    <v>107.02</v>
    <v>103.62</v>
    <v>1228504000</v>
    <v>SAPA</v>
    <v>SAP SE (XFRA:SAPA)</v>
    <v>25</v>
    <v>1527540</v>
    <v>2014</v>
  </rv>
  <rv s="2">
    <v>108</v>
  </rv>
  <rv s="0">
    <v>https://www.bing.com/financeapi/forcetrigger?t=a2xwk2&amp;q=OTCM%3aTCEHY&amp;form=skydnc</v>
    <v>Learn more on Bing</v>
  </rv>
  <rv s="5">
    <v>en-US</v>
    <v>a2xwk2</v>
    <v>268435456</v>
    <v>1</v>
    <v>Powered by Refinitiv</v>
    <v>18</v>
    <v>Tencent Holdings Limited (OTCM:TCEHY)</v>
    <v>2</v>
    <v>19</v>
    <v>Finance</v>
    <v>16</v>
    <v>63</v>
    <v>24.75</v>
    <v>1.3947000000000001</v>
    <v>-2.92</v>
    <v>0</v>
    <v>-7.4642E-2</v>
    <v>0</v>
    <v>USD</v>
    <v>Tencent Holdings Limited is an investment holding company principally involved in the provision of value-added services (VAS) and online advertising services. The Company operates through three main segments. The VAS segment is mainly involved in provision of online/mobile games, community value-added services and applications across various Internet and mobile platforms. The Online Advertising segment is mainly engaged in display based and performance based advertisements. The Others segment is mainly involved in provision of payment related services, cloud services and other services.</v>
    <v>108836</v>
    <v>OTC Markets</v>
    <v>OTCM</v>
    <v>OTCM</v>
    <v>Tencent Binhai Towers, No. 33 Haitian 2nd Road, Nanshan District, SHENZHEN, GUANGDONG, 518054 CN</v>
    <v>37.090000000000003</v>
    <v>Software &amp; IT Services</v>
    <v>Stock</v>
    <v>44884.048611111109</v>
    <v>110</v>
    <v>36.020000000000003</v>
    <v>2757474000000</v>
    <v>Tencent Holdings Limited</v>
    <v>Tencent Holdings Limited</v>
    <v>36.97</v>
    <v>39.119999999999997</v>
    <v>36.200000000000003</v>
    <v>36.200000000000003</v>
    <v>9581216000</v>
    <v>TCEHY</v>
    <v>Tencent Holdings Limited (OTCM:TCEHY)</v>
    <v>4215303</v>
    <v>46331540</v>
    <v>2004</v>
  </rv>
  <rv s="2">
    <v>111</v>
  </rv>
  <rv s="0">
    <v>https://www.bing.com/financeapi/forcetrigger?t=a1u3p2&amp;q=XNAS%3aGOOG&amp;form=skydnc</v>
    <v>Learn more on Bing</v>
  </rv>
  <rv s="3">
    <v>en-US</v>
    <v>a1u3p2</v>
    <v>268435456</v>
    <v>1</v>
    <v>Powered by Refinitiv</v>
    <v>5</v>
    <v>ALPHABET INC. (XNAS:GOOG)</v>
    <v>2</v>
    <v>6</v>
    <v>Finance</v>
    <v>10</v>
    <v>152.1</v>
    <v>83.45</v>
    <v>1.0579000000000001</v>
    <v>-0.7</v>
    <v>-2.3519999999999999E-3</v>
    <v>-7.1069999999999996E-3</v>
    <v>-0.23</v>
    <v>USD</v>
    <v>Alphabet Inc. is a holding company. The Company's segments include Google Services, Google Cloud, and Other Bets. The Google Services segment includes products and services such as ads, Android, Chrome, hardware, Google Maps, Google Play, Search, and YouTube. The Google Cloud segment includes Google's infrastructure and platform services, collaboration tools, and other services for enterprise customers. The Other Bets segment includes earlier stage technologies that are further afield from its core Google business, and it includes the sale of health technology and Internet services. Its Google Cloud provides enterprise-ready cloud services, including Google Cloud Platform and Google Workspace. Google Cloud Platform enables developers to build, test, and deploy applications on its infrastructure. The Company's Google Workspace collaboration tools include applications, such as Gmail, Docs, Drive, Calendar, Meet, and various others. The Company also has various hardware products.</v>
    <v>186779</v>
    <v>Nasdaq Stock Market</v>
    <v>XNAS</v>
    <v>XNAS</v>
    <v>1600 Amphitheatre Pkwy, MOUNTAIN VIEW, CA, 94043-1351 US</v>
    <v>99.16</v>
    <v>Software &amp; IT Services</v>
    <v>Stock</v>
    <v>44884.041349235937</v>
    <v>113</v>
    <v>96.74</v>
    <v>1263288000000</v>
    <v>ALPHABET INC.</v>
    <v>ALPHABET INC.</v>
    <v>99.01</v>
    <v>19.557099999999998</v>
    <v>98.5</v>
    <v>97.8</v>
    <v>97.57</v>
    <v>12943000000</v>
    <v>GOOG</v>
    <v>ALPHABET INC. (XNAS:GOOG)</v>
    <v>24969880</v>
    <v>32951731</v>
    <v>2015</v>
  </rv>
  <rv s="2">
    <v>114</v>
  </rv>
  <rv s="0">
    <v>https://www.bing.com/financeapi/forcetrigger?t=ah74ar&amp;q=XHKG%3a992&amp;form=skydnc</v>
    <v>Learn more on Bing</v>
  </rv>
  <rv s="3">
    <v>en-US</v>
    <v>ah74ar</v>
    <v>268435456</v>
    <v>1</v>
    <v>Powered by Refinitiv</v>
    <v>5</v>
    <v>Lenovo Group Limited (XHKG:992)</v>
    <v>2</v>
    <v>20</v>
    <v>Finance</v>
    <v>16</v>
    <v>9.44</v>
    <v>5.26</v>
    <v>0.72860000000000003</v>
    <v>-0.12</v>
    <v>1.5310000000000002E-3</v>
    <v>-1.8044999999999999E-2</v>
    <v>0.01</v>
    <v>HKD</v>
    <v>Lenovo Group Limited is an investment holding company principally engaged in personal computers and related businesses. The Company’s main products include Think-branded commercial personal computers and Idea-branded consumer personal computers, as well as servers, workstations and a family of mobile Internet devices, including tablets and smart phones. The Company operates its business through four geographical segments, including China, Asia Pacific (AP), Europe, the Middle East and Africa (EMEA) and Americas (AG). The Company also provides cloud service and other related services. The Company distributes its products in domestic market and to overseas markets.</v>
    <v>82000</v>
    <v>Hong Kong Stock Exchange</v>
    <v>XHKG</v>
    <v>XHKG</v>
    <v>No.10 Xibeiwang East Road, Haidian District, BEIJING, BEIJING, 100085 CN</v>
    <v>6.74</v>
    <v>Computers, Phones &amp; Household Electronics</v>
    <v>Stock</v>
    <v>44883.339097222219</v>
    <v>116</v>
    <v>6.51</v>
    <v>79196690000</v>
    <v>Lenovo Group Limited</v>
    <v>Lenovo Group Limited</v>
    <v>6.74</v>
    <v>4.63</v>
    <v>6.65</v>
    <v>6.53</v>
    <v>6.54</v>
    <v>12128130000</v>
    <v>992</v>
    <v>Lenovo Group Limited (XHKG:992)</v>
    <v>33219115</v>
    <v>45097520</v>
    <v>1993</v>
  </rv>
  <rv s="2">
    <v>117</v>
  </rv>
  <rv s="0">
    <v>https://www.bing.com/financeapi/forcetrigger?t=a1slm7&amp;q=XNAS%3aMETA&amp;form=skydnc</v>
    <v>Learn more on Bing</v>
  </rv>
  <rv s="3">
    <v>en-US</v>
    <v>a1slm7</v>
    <v>268435456</v>
    <v>1</v>
    <v>Powered by Refinitiv</v>
    <v>5</v>
    <v>Meta Platforms, Inc. (XNAS:META)</v>
    <v>2</v>
    <v>6</v>
    <v>Finance</v>
    <v>10</v>
    <v>353.83</v>
    <v>88.09</v>
    <v>1.1631</v>
    <v>0.6</v>
    <v>-2.9449999999999997E-3</v>
    <v>5.3839999999999999E-3</v>
    <v>-0.33</v>
    <v>USD</v>
    <v>Meta Platforms Inc., formerly Facebook, Inc., builds technologies that help people find communities and grow businesses. The Company's products enable people to connect and share with friends and family through mobile devices, personal computers, virtual reality (VR) headsets, wearables, and in-home devices. The Company operates through two segments: Family of Apps (FoA) and Reality Labs (RL). FoA includes Facebook, Instagram, Messenger, WhatsApp, and other services. RL includes augmented and virtual reality-related consumer hardware, software, and content. Facebook enables people to connect, share, discover and communicate with each other on mobile devices and personal computers. Instagram is a place where people can express themselves through photos, videos, and private messaging, and connect with and shop from their favorite businesses and creators. Messenger is a messaging application for people to connect with friends, family, groups, and businesses across platforms and devices.</v>
    <v>87314</v>
    <v>Nasdaq Stock Market</v>
    <v>XNAS</v>
    <v>XNAS</v>
    <v>1601 Willow Rd, MENLO PARK, CA, 94025 US</v>
    <v>114.32</v>
    <v>Software &amp; IT Services</v>
    <v>Stock</v>
    <v>44884.041614860937</v>
    <v>119</v>
    <v>110.62</v>
    <v>297106000000</v>
    <v>Meta Platforms, Inc.</v>
    <v>Meta Platforms, Inc.</v>
    <v>113.8</v>
    <v>10.6318</v>
    <v>111.45</v>
    <v>112.05</v>
    <v>111.72</v>
    <v>2651549000</v>
    <v>META</v>
    <v>Meta Platforms, Inc. (XNAS:META)</v>
    <v>33357707</v>
    <v>67042227</v>
    <v>2004</v>
  </rv>
  <rv s="2">
    <v>120</v>
  </rv>
  <rv s="0">
    <v>https://www.bing.com/financeapi/forcetrigger?t=a1retc&amp;q=XNYS%3aDELL&amp;form=skydnc</v>
    <v>Learn more on Bing</v>
  </rv>
  <rv s="3">
    <v>en-US</v>
    <v>a1retc</v>
    <v>268435456</v>
    <v>1</v>
    <v>Powered by Refinitiv</v>
    <v>5</v>
    <v>DELL TECHNOLOGIES INC. (XNYS:DELL)</v>
    <v>2</v>
    <v>6</v>
    <v>Finance</v>
    <v>7</v>
    <v>61.54</v>
    <v>32.895000000000003</v>
    <v>0.90290000000000004</v>
    <v>0.28000000000000003</v>
    <v>-8.3250000000000008E-3</v>
    <v>6.705E-3</v>
    <v>-0.35</v>
    <v>USD</v>
    <v>Dell Technologies Inc. is a provider of information technology solutions. The Company operates through two segments: Infrastructure Solutions Group (ISG) and Client Solutions Group (CSG). The ISG segment enables the digital transformation of the Company’s customers through its multi-cloud and big data solutions, which are built upon a modern data center infrastructure. The ISG segment has a portfolio of advanced storage solutions, which includes traditional storage solutions, as well as next-generation storage solutions, while the Company’s server portfolio includes performance rack, blade, tower and hyperscale servers. The CSG segment includes sales to commercial and consumer customers of branded hardware and branded peripherals, as well as services and third-party software and peripherals. The CSG segment also offers attached software, peripherals, and services, including support and deployment, configuration, and extended warranty services.</v>
    <v>133000</v>
    <v>New York Stock Exchange</v>
    <v>XNYS</v>
    <v>XNYS</v>
    <v>ONE DELL WAY, ROUND ROCK, TX, 78682 US</v>
    <v>42.14</v>
    <v>Computers, Phones &amp; Household Electronics</v>
    <v>Stock</v>
    <v>44884.036954988282</v>
    <v>122</v>
    <v>41.365000000000002</v>
    <v>30813640000</v>
    <v>DELL TECHNOLOGIES INC.</v>
    <v>DELL TECHNOLOGIES INC.</v>
    <v>41.84</v>
    <v>5.6246999999999998</v>
    <v>41.76</v>
    <v>42.04</v>
    <v>41.69</v>
    <v>732960000</v>
    <v>DELL</v>
    <v>DELL TECHNOLOGIES INC. (XNYS:DELL)</v>
    <v>3992255</v>
    <v>2637628</v>
    <v>2013</v>
  </rv>
  <rv s="2">
    <v>123</v>
  </rv>
  <rv s="0">
    <v>https://www.bing.com/financeapi/forcetrigger?t=a33k6h&amp;q=S%26P+500+INDEX&amp;form=skydnc</v>
    <v>Learn more on Bing</v>
  </rv>
  <rv s="6">
    <v>en-US</v>
    <v>a33k6h</v>
    <v>268435456</v>
    <v>1</v>
    <v>Powered by Refinitiv</v>
    <v>21</v>
    <v>S&amp;P 500 INDEX</v>
    <v>22</v>
    <v>23</v>
    <v>Finance</v>
    <v>24</v>
    <v>4818.62</v>
    <v>3491.58</v>
    <v>18.78</v>
    <v>4.7590000000000002E-3</v>
    <v>US</v>
    <v>3979.89</v>
    <v>Index</v>
    <v>125</v>
    <v>3935.98</v>
    <v>S&amp;P 500 INDEX</v>
    <v>3966.39</v>
    <v>3946.56</v>
    <v>3965.34</v>
    <v>INX</v>
    <v>S&amp;P 500 INDEX</v>
  </rv>
  <rv s="2">
    <v>126</v>
  </rv>
  <rv s="7">
    <v>en-US</v>
    <v>av932w</v>
    <v>268435456</v>
    <v>1</v>
    <v>Powered by Refinitiv</v>
    <v>25</v>
    <v>EUR/USD</v>
    <v>26</v>
    <v>27</v>
    <v>Finance</v>
    <v>28</v>
    <v>1.1495</v>
    <v>0.95340000000000003</v>
    <v>-1E-4</v>
    <v>-9.6860000000000004E-5</v>
    <v>USD</v>
    <v>EUR</v>
    <v>1.0324</v>
    <v>Currency Pair</v>
    <v>44885.939918981479</v>
    <v>1.032</v>
    <v>Euro/US Dollar FX Spot Rate</v>
    <v>1.0316000000000001</v>
    <v>1.0324</v>
    <v>1.0323</v>
    <v>EURUSD</v>
    <v>EUR/USD</v>
  </rv>
  <rv s="2">
    <v>128</v>
  </rv>
  <rv s="0">
    <v>https://www.bing.com/financeapi/forcetrigger?t=afx2kr&amp;q=DEUTSCHE+BORSE+DAX+INDEX&amp;form=skydnc</v>
    <v>Learn more on Bing</v>
  </rv>
  <rv s="6">
    <v>en-US</v>
    <v>afx2kr</v>
    <v>268435456</v>
    <v>1</v>
    <v>Powered by Refinitiv</v>
    <v>21</v>
    <v>DEUTSCHE BORSE DAX INDEX</v>
    <v>22</v>
    <v>29</v>
    <v>Finance</v>
    <v>24</v>
    <v>16285.35</v>
    <v>11862.84</v>
    <v>165.48</v>
    <v>1.1599E-2</v>
    <v>DE</v>
    <v>14457.76</v>
    <v>Index</v>
    <v>130</v>
    <v>14300.21</v>
    <v>DEUTSCHE BORSE DAX INDEX</v>
    <v>14320.61</v>
    <v>14266.38</v>
    <v>14431.86</v>
    <v>DAX</v>
    <v>DEUTSCHE BORSE DAX INDEX</v>
  </rv>
  <rv s="2">
    <v>131</v>
  </rv>
  <rv s="7">
    <v>en-US</v>
    <v>av92z2</v>
    <v>268435456</v>
    <v>1</v>
    <v>Powered by Refinitiv</v>
    <v>25</v>
    <v>EUR/GBP</v>
    <v>26</v>
    <v>30</v>
    <v>Finance</v>
    <v>28</v>
    <v>0.92420000000000002</v>
    <v>0.81989999999999996</v>
    <v>2.0000000000000001E-4</v>
    <v>2.3040000000000002E-4</v>
    <v>GBP</v>
    <v>EUR</v>
    <v>0.86839999999999995</v>
    <v>Currency Pair</v>
    <v>44885.939918981479</v>
    <v>0.86729999999999996</v>
    <v>Euro/UK Pound Sterling FX Cross Rate</v>
    <v>0.86799999999999999</v>
    <v>0.86809999999999998</v>
    <v>0.86829999999999996</v>
    <v>EURGBP</v>
    <v>EUR/GBP</v>
  </rv>
  <rv s="2">
    <v>133</v>
  </rv>
  <rv s="0">
    <v>https://www.bing.com/financeapi/forcetrigger?t=bpr1rw&amp;q=STOXX+Europe+600+Index+FAM+I+Acc&amp;form=skydnc</v>
    <v>Learn more on Bing</v>
  </rv>
  <rv s="8">
    <v>en-GB</v>
    <v>bpr1rw</v>
    <v>268435456</v>
    <v>1</v>
    <v>Powered by Refinitiv</v>
    <v>31</v>
    <v>STOXX Europe 600 Index FAM I Acc</v>
    <v>32</v>
    <v>33</v>
    <v>Finance</v>
    <v>34</v>
    <v>-0.49259999999999998</v>
    <v>-3.9300000000000003E-3</v>
    <v>IE</v>
    <v>EUR</v>
    <v>Mutual Fund</v>
    <v>44882</v>
    <v>44884.085808700002</v>
    <v>135</v>
    <v>STOXX Europe 600 Index FAM I Acc</v>
    <v>75821396.439999998</v>
    <v>125.3442</v>
    <v>124.8516</v>
    <v>0</v>
    <v>7.1958999999999995E-2</v>
    <v>-8.6619999999999996E-3</v>
    <v>-0.10069400000000001</v>
    <v>-2.5714999999999998E-2</v>
    <v>3.9083E-2</v>
    <v>0</v>
    <v>-0.103329</v>
    <v>STOXX Europe 600 Index FAM I Acc</v>
  </rv>
  <rv s="2">
    <v>136</v>
  </rv>
  <rv s="7">
    <v>en-US</v>
    <v>av923m</v>
    <v>268435456</v>
    <v>1</v>
    <v>Powered by Refinitiv</v>
    <v>25</v>
    <v>EUR/CHF</v>
    <v>26</v>
    <v>35</v>
    <v>Finance</v>
    <v>28</v>
    <v>1.0609999999999999</v>
    <v>0.94169999999999998</v>
    <v>-6.9999999999999999E-4</v>
    <v>-7.1029999999999997E-4</v>
    <v>CHF</v>
    <v>EUR</v>
    <v>0.9859</v>
    <v>Currency Pair</v>
    <v>44885.940138888887</v>
    <v>0.98409999999999997</v>
    <v>Euro/Swiss Franc FX Cross Rate</v>
    <v>0.9859</v>
    <v>0.98550000000000004</v>
    <v>0.98480000000000001</v>
    <v>EURCHF</v>
    <v>EUR/CHF</v>
  </rv>
  <rv s="2">
    <v>138</v>
  </rv>
  <rv s="7">
    <v>en-US</v>
    <v>av8z27</v>
    <v>268435456</v>
    <v>1</v>
    <v>Powered by Refinitiv</v>
    <v>25</v>
    <v>EUR/NOK</v>
    <v>26</v>
    <v>36</v>
    <v>Finance</v>
    <v>28</v>
    <v>10.6815</v>
    <v>9.4206000000000003</v>
    <v>-4.7899999999999998E-2</v>
    <v>-4.5560000000000002E-3</v>
    <v>NOK</v>
    <v>EUR</v>
    <v>10.5146</v>
    <v>Currency Pair</v>
    <v>44885.940312500003</v>
    <v>10.4697</v>
    <v>Euro/Norwegian Krone FX Cross Rate</v>
    <v>10.512600000000001</v>
    <v>10.512600000000001</v>
    <v>10.464700000000001</v>
    <v>EURNOK</v>
    <v>EUR/NOK</v>
  </rv>
  <rv s="2">
    <v>140</v>
  </rv>
  <rv s="7">
    <v>en-US</v>
    <v>av91zr</v>
    <v>268435456</v>
    <v>1</v>
    <v>Powered by Refinitiv</v>
    <v>25</v>
    <v>EUR/SEK</v>
    <v>26</v>
    <v>37</v>
    <v>Finance</v>
    <v>28</v>
    <v>11.099399999999999</v>
    <v>9.9831000000000003</v>
    <v>2.23E-2</v>
    <v>2.032E-3</v>
    <v>SEK</v>
    <v>EUR</v>
    <v>11</v>
    <v>Currency Pair</v>
    <v>44885.940347222226</v>
    <v>10.9872</v>
    <v>Euro/Swedish Krona FX Cross Rate</v>
    <v>10.9885</v>
    <v>10.9754</v>
    <v>10.9977</v>
    <v>EURSEK</v>
    <v>EUR/SEK</v>
  </rv>
  <rv s="2">
    <v>142</v>
  </rv>
  <rv s="7">
    <v>en-US</v>
    <v>av8ttc</v>
    <v>268435456</v>
    <v>1</v>
    <v>Powered by Refinitiv</v>
    <v>25</v>
    <v>EUR/CAD</v>
    <v>26</v>
    <v>38</v>
    <v>Finance</v>
    <v>28</v>
    <v>1.4644999999999999</v>
    <v>1.2870999999999999</v>
    <v>-5.9999999999999995E-4</v>
    <v>-4.3419999999999998E-4</v>
    <v>CAD</v>
    <v>EUR</v>
    <v>1.3818999999999999</v>
    <v>Currency Pair</v>
    <v>44885.94023148148</v>
    <v>1.3801000000000001</v>
    <v>Euro/Canadian Dollar FX Cross Rate</v>
    <v>1.3818999999999999</v>
    <v>1.3817999999999999</v>
    <v>1.3812</v>
    <v>EURCAD</v>
    <v>EUR/CAD</v>
  </rv>
  <rv s="2">
    <v>144</v>
  </rv>
  <rv s="7">
    <v>en-US</v>
    <v>av8upr</v>
    <v>268435456</v>
    <v>1</v>
    <v>Powered by Refinitiv</v>
    <v>25</v>
    <v>EUR/DKK</v>
    <v>26</v>
    <v>39</v>
    <v>Finance</v>
    <v>28</v>
    <v>7.5054999999999996</v>
    <v>7.3410000000000002</v>
    <v>-1.5E-3</v>
    <v>-2.017E-4</v>
    <v>DKK</v>
    <v>EUR</v>
    <v>7.4412000000000003</v>
    <v>Currency Pair</v>
    <v>44885.940057870372</v>
    <v>7.4340000000000002</v>
    <v>Euro/Danish Krone FX Cross Rate</v>
    <v>7.4372999999999996</v>
    <v>7.4372999999999996</v>
    <v>7.4358000000000004</v>
    <v>EURDKK</v>
    <v>EUR/DKK</v>
  </rv>
  <rv s="2">
    <v>146</v>
  </rv>
  <rv s="7">
    <v>en-US</v>
    <v>av8vur</v>
    <v>268435456</v>
    <v>1</v>
    <v>Powered by Refinitiv</v>
    <v>25</v>
    <v>EUR/HKD</v>
    <v>26</v>
    <v>40</v>
    <v>Finance</v>
    <v>28</v>
    <v>8.9586000000000006</v>
    <v>7.4836999999999998</v>
    <v>-1.1000000000000001E-3</v>
    <v>-1.362E-4</v>
    <v>HKD</v>
    <v>EUR</v>
    <v>8.0747999999999998</v>
    <v>Currency Pair</v>
    <v>44885.939918981479</v>
    <v>8.0719999999999992</v>
    <v>Euro/Hong Kong Dollar FX Cross Rate</v>
    <v>8.0686</v>
    <v>8.0747999999999998</v>
    <v>8.0737000000000005</v>
    <v>EURHKD</v>
    <v>EUR/HKD</v>
  </rv>
  <rv s="2">
    <v>148</v>
  </rv>
</rvData>
</file>

<file path=xl/richData/rdrichvaluestructure.xml><?xml version="1.0" encoding="utf-8"?>
<rvStructures xmlns="http://schemas.microsoft.com/office/spreadsheetml/2017/richdata" count="9">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error">
    <k n="errorType" t="i"/>
    <k n="field" t="s"/>
    <k n="subType" t="i"/>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ountry/region" t="s"/>
    <k n="High"/>
    <k n="Instrument type" t="s"/>
    <k n="LearnMoreOnLink" t="r"/>
    <k n="Low"/>
    <k n="Name" t="s"/>
    <k n="Open"/>
    <k n="Previous close"/>
    <k n="Price"/>
    <k n="Ticker symbol" t="s"/>
    <k n="UniqueName" t="s"/>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s t="_linkedentitycore">
    <k n="%EntityCulture" t="s"/>
    <k n="%EntityId" t="s"/>
    <k n="%EntityServiceId"/>
    <k n="%IsRefreshable" t="b"/>
    <k n="%ProviderInfo" t="s"/>
    <k n="_Display" t="spb"/>
    <k n="_DisplayString" t="s"/>
    <k n="_Flags" t="spb"/>
    <k n="_Format" t="spb"/>
    <k n="_Icon" t="s"/>
    <k n="_SubLabel" t="spb"/>
    <k n="Change"/>
    <k n="Change (%)"/>
    <k n="Country/region" t="s"/>
    <k n="Currency" t="s"/>
    <k n="Instrument type" t="s"/>
    <k n="Last trade time"/>
    <k n="Last update time"/>
    <k n="LearnMoreOnLink" t="r"/>
    <k n="Name" t="s"/>
    <k n="Net assets"/>
    <k n="Previous close"/>
    <k n="Price"/>
    <k n="Rating"/>
    <k n="Return (1m)"/>
    <k n="Return (1w)"/>
    <k n="Return (1y)"/>
    <k n="Return (3m)"/>
    <k n="Return (3y)"/>
    <k n="Return (5y)"/>
    <k n="Return (YTD)"/>
    <k n="UniqueName" t="s"/>
  </s>
</rvStructures>
</file>

<file path=xl/richData/rdsupportingpropertybag.xml><?xml version="1.0" encoding="utf-8"?>
<supportingPropertyBags xmlns="http://schemas.microsoft.com/office/spreadsheetml/2017/richdata2">
  <spbArrays count="6">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26">
      <v t="s">%EntityServiceId</v>
      <v t="s">_Format</v>
      <v t="s">%IsRefreshable</v>
      <v t="s">%EntityCulture</v>
      <v t="s">%EntityId</v>
      <v t="s">_Icon</v>
      <v t="s">_Display</v>
      <v t="s">Name</v>
      <v t="s">Price</v>
      <v t="s">Ticker symbol</v>
      <v t="s">_SubLabel</v>
      <v t="s">Change</v>
      <v t="s">Change (%)</v>
      <v t="s">Country/region</v>
      <v t="s">Previous close</v>
      <v t="s">Open</v>
      <v t="s">High</v>
      <v t="s">Low</v>
      <v t="s">52 week high</v>
      <v t="s">52 week low</v>
      <v t="s">Instrument type</v>
      <v t="s">_Flags</v>
      <v t="s">UniqueName</v>
      <v t="s">_DisplayString</v>
      <v t="s">LearnMoreOnLink</v>
      <v t="s">%ProviderInfo</v>
    </a>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a count="32">
      <v t="s">%EntityServiceId</v>
      <v t="s">_Format</v>
      <v t="s">%IsRefreshable</v>
      <v t="s">%EntityCulture</v>
      <v t="s">%EntityId</v>
      <v t="s">_Icon</v>
      <v t="s">_Display</v>
      <v t="s">Name</v>
      <v t="s">Price</v>
      <v t="s">Country/region</v>
      <v t="s">_SubLabel</v>
      <v t="s">Change</v>
      <v t="s">Change (%)</v>
      <v t="s">Rating</v>
      <v t="s">Previous close</v>
      <v t="s">Return (YTD)</v>
      <v t="s">Return (1w)</v>
      <v t="s">Return (1m)</v>
      <v t="s">Return (3m)</v>
      <v t="s">Return (1y)</v>
      <v t="s">Return (3y)</v>
      <v t="s">Return (5y)</v>
      <v t="s">Net assets</v>
      <v t="s">Last trade time</v>
      <v t="s">_Flags</v>
      <v t="s">Last update time</v>
      <v t="s">Instrument type</v>
      <v t="s">Currency</v>
      <v t="s">UniqueName</v>
      <v t="s">_DisplayString</v>
      <v t="s">LearnMoreOnLink</v>
      <v t="s">%ProviderInfo</v>
    </a>
  </spbArrays>
  <spbData count="41">
    <spb s="0">
      <v>0</v>
      <v>Name</v>
      <v>LearnMoreOnLink</v>
    </spb>
    <spb s="1">
      <v>0</v>
      <v>0</v>
      <v>0</v>
    </spb>
    <spb s="2">
      <v>1</v>
      <v>1</v>
      <v>1</v>
      <v>1</v>
    </spb>
    <spb s="3">
      <v>1</v>
      <v>2</v>
      <v>2</v>
      <v>1</v>
      <v>3</v>
      <v>1</v>
      <v>1</v>
      <v>1</v>
      <v>4</v>
      <v>4</v>
      <v>5</v>
      <v>6</v>
      <v>1</v>
      <v>1</v>
      <v>1</v>
      <v>4</v>
      <v>7</v>
      <v>8</v>
      <v>9</v>
      <v>4</v>
    </spb>
    <spb s="4">
      <v>Delayed 15 minutes</v>
      <v>from previous close</v>
      <v>from previous close</v>
      <v>GMT</v>
    </spb>
    <spb s="0">
      <v>1</v>
      <v>Name</v>
      <v>LearnMoreOnLink</v>
    </spb>
    <spb s="5">
      <v>10</v>
      <v>2</v>
      <v>2</v>
      <v>10</v>
      <v>3</v>
      <v>10</v>
      <v>10</v>
      <v>10</v>
      <v>4</v>
      <v>4</v>
      <v>5</v>
      <v>11</v>
      <v>10</v>
      <v>10</v>
      <v>10</v>
      <v>4</v>
      <v>7</v>
      <v>8</v>
      <v>9</v>
      <v>4</v>
      <v>10</v>
      <v>10</v>
      <v>5</v>
    </spb>
    <spb s="6">
      <v>at close</v>
      <v>from previous close</v>
      <v>from previous close</v>
      <v>Source: Nasdaq Last Sale</v>
      <v>GMT</v>
      <v>Real-Time Nasdaq Last Sale</v>
      <v>from close</v>
      <v>from close</v>
    </spb>
    <spb s="3">
      <v>10</v>
      <v>2</v>
      <v>2</v>
      <v>10</v>
      <v>3</v>
      <v>10</v>
      <v>10</v>
      <v>10</v>
      <v>4</v>
      <v>4</v>
      <v>5</v>
      <v>11</v>
      <v>10</v>
      <v>10</v>
      <v>10</v>
      <v>4</v>
      <v>7</v>
      <v>8</v>
      <v>9</v>
      <v>4</v>
    </spb>
    <spb s="7">
      <v>Real-Time Nasdaq Last Sale</v>
      <v>from previous close</v>
      <v>from previous close</v>
      <v>Source: Nasdaq Last Sale</v>
      <v>GMT</v>
    </spb>
    <spb s="6">
      <v>at close</v>
      <v>from previous close</v>
      <v>from previous close</v>
      <v>Source: Nasdaq</v>
      <v>GMT</v>
      <v>Delayed 15 minutes</v>
      <v>from close</v>
      <v>from close</v>
    </spb>
    <spb s="3">
      <v>12</v>
      <v>2</v>
      <v>2</v>
      <v>12</v>
      <v>3</v>
      <v>12</v>
      <v>12</v>
      <v>12</v>
      <v>4</v>
      <v>4</v>
      <v>5</v>
      <v>13</v>
      <v>12</v>
      <v>12</v>
      <v>12</v>
      <v>4</v>
      <v>7</v>
      <v>8</v>
      <v>9</v>
      <v>4</v>
    </spb>
    <spb s="7">
      <v>Delayed 15 minutes</v>
      <v>from previous close</v>
      <v>from previous close</v>
      <v>LSE</v>
      <v>GMT</v>
    </spb>
    <spb s="5">
      <v>14</v>
      <v>2</v>
      <v>2</v>
      <v>14</v>
      <v>3</v>
      <v>14</v>
      <v>14</v>
      <v>14</v>
      <v>4</v>
      <v>4</v>
      <v>5</v>
      <v>15</v>
      <v>14</v>
      <v>14</v>
      <v>14</v>
      <v>4</v>
      <v>7</v>
      <v>8</v>
      <v>9</v>
      <v>4</v>
      <v>14</v>
      <v>14</v>
      <v>5</v>
    </spb>
    <spb s="8">
      <v>at close</v>
      <v>from previous close</v>
      <v>from previous close</v>
      <v>GMT</v>
      <v>Delayed 20 minutes</v>
      <v>from close</v>
      <v>from close</v>
    </spb>
    <spb s="5">
      <v>1</v>
      <v>2</v>
      <v>2</v>
      <v>1</v>
      <v>3</v>
      <v>1</v>
      <v>1</v>
      <v>1</v>
      <v>4</v>
      <v>4</v>
      <v>5</v>
      <v>13</v>
      <v>1</v>
      <v>1</v>
      <v>1</v>
      <v>4</v>
      <v>7</v>
      <v>8</v>
      <v>9</v>
      <v>4</v>
      <v>1</v>
      <v>1</v>
      <v>5</v>
    </spb>
    <spb s="8">
      <v>at close</v>
      <v>from previous close</v>
      <v>from previous close</v>
      <v>GMT</v>
      <v>Delayed 15 minutes</v>
      <v>from close</v>
      <v>from close</v>
    </spb>
    <spb s="3">
      <v>1</v>
      <v>2</v>
      <v>2</v>
      <v>1</v>
      <v>3</v>
      <v>1</v>
      <v>1</v>
      <v>1</v>
      <v>4</v>
      <v>4</v>
      <v>5</v>
      <v>11</v>
      <v>1</v>
      <v>1</v>
      <v>1</v>
      <v>4</v>
      <v>7</v>
      <v>8</v>
      <v>9</v>
      <v>4</v>
    </spb>
    <spb s="0">
      <v>2</v>
      <v>Name</v>
      <v>LearnMoreOnLink</v>
    </spb>
    <spb s="9">
      <v>10</v>
      <v>2</v>
      <v>10</v>
      <v>3</v>
      <v>10</v>
      <v>10</v>
      <v>10</v>
      <v>4</v>
      <v>4</v>
      <v>5</v>
      <v>16</v>
      <v>10</v>
      <v>10</v>
      <v>10</v>
      <v>4</v>
      <v>7</v>
      <v>8</v>
      <v>9</v>
      <v>4</v>
      <v>10</v>
      <v>10</v>
      <v>5</v>
    </spb>
    <spb s="5">
      <v>17</v>
      <v>2</v>
      <v>2</v>
      <v>17</v>
      <v>3</v>
      <v>17</v>
      <v>17</v>
      <v>17</v>
      <v>4</v>
      <v>4</v>
      <v>5</v>
      <v>16</v>
      <v>17</v>
      <v>17</v>
      <v>17</v>
      <v>4</v>
      <v>7</v>
      <v>8</v>
      <v>9</v>
      <v>4</v>
      <v>17</v>
      <v>17</v>
      <v>5</v>
    </spb>
    <spb s="0">
      <v>3</v>
      <v>Name</v>
      <v>LearnMoreOnLink</v>
    </spb>
    <spb s="10">
      <v>1</v>
      <v>1</v>
      <v>1</v>
    </spb>
    <spb s="11">
      <v>10</v>
      <v>10</v>
      <v>3</v>
      <v>10</v>
      <v>10</v>
      <v>10</v>
      <v>5</v>
      <v>10</v>
      <v>10</v>
      <v>10</v>
      <v>9</v>
    </spb>
    <spb s="12">
      <v>from previous close</v>
      <v>from previous close</v>
    </spb>
    <spb s="13">
      <v>4</v>
      <v>Name</v>
    </spb>
    <spb s="14">
      <v>1</v>
      <v>1</v>
    </spb>
    <spb s="15">
      <v>10</v>
      <v>10</v>
      <v>3</v>
      <v>10</v>
      <v>10</v>
      <v>10</v>
      <v>5</v>
      <v>10</v>
      <v>10</v>
      <v>10</v>
      <v>7</v>
      <v>9</v>
    </spb>
    <spb s="16">
      <v>GMT</v>
    </spb>
    <spb s="11">
      <v>1</v>
      <v>1</v>
      <v>3</v>
      <v>1</v>
      <v>1</v>
      <v>1</v>
      <v>5</v>
      <v>1</v>
      <v>1</v>
      <v>1</v>
      <v>9</v>
    </spb>
    <spb s="15">
      <v>18</v>
      <v>18</v>
      <v>3</v>
      <v>18</v>
      <v>18</v>
      <v>18</v>
      <v>5</v>
      <v>18</v>
      <v>18</v>
      <v>18</v>
      <v>7</v>
      <v>9</v>
    </spb>
    <spb s="0">
      <v>5</v>
      <v>Name</v>
      <v>LearnMoreOnLink</v>
    </spb>
    <spb s="17">
      <v>1</v>
      <v>1</v>
      <v>1</v>
      <v>1</v>
    </spb>
    <spb s="18">
      <v>3</v>
      <v>1</v>
      <v>1</v>
      <v>4</v>
      <v>5</v>
      <v>6</v>
      <v>5</v>
      <v>5</v>
      <v>5</v>
      <v>5</v>
      <v>5</v>
      <v>5</v>
      <v>5</v>
      <v>1</v>
      <v>19</v>
      <v>7</v>
      <v>9</v>
    </spb>
    <spb s="19">
      <v>from previous close</v>
      <v>from previous close</v>
      <v>GMT</v>
      <v>GMT</v>
    </spb>
    <spb s="15">
      <v>20</v>
      <v>20</v>
      <v>3</v>
      <v>20</v>
      <v>20</v>
      <v>20</v>
      <v>5</v>
      <v>20</v>
      <v>20</v>
      <v>20</v>
      <v>7</v>
      <v>9</v>
    </spb>
    <spb s="15">
      <v>21</v>
      <v>21</v>
      <v>3</v>
      <v>21</v>
      <v>21</v>
      <v>21</v>
      <v>5</v>
      <v>21</v>
      <v>21</v>
      <v>21</v>
      <v>7</v>
      <v>9</v>
    </spb>
    <spb s="15">
      <v>22</v>
      <v>22</v>
      <v>3</v>
      <v>22</v>
      <v>22</v>
      <v>22</v>
      <v>5</v>
      <v>22</v>
      <v>22</v>
      <v>22</v>
      <v>7</v>
      <v>9</v>
    </spb>
    <spb s="15">
      <v>14</v>
      <v>14</v>
      <v>3</v>
      <v>14</v>
      <v>14</v>
      <v>14</v>
      <v>5</v>
      <v>14</v>
      <v>14</v>
      <v>14</v>
      <v>7</v>
      <v>9</v>
    </spb>
    <spb s="15">
      <v>23</v>
      <v>23</v>
      <v>3</v>
      <v>23</v>
      <v>23</v>
      <v>23</v>
      <v>5</v>
      <v>23</v>
      <v>23</v>
      <v>23</v>
      <v>7</v>
      <v>9</v>
    </spb>
    <spb s="15">
      <v>17</v>
      <v>17</v>
      <v>3</v>
      <v>17</v>
      <v>17</v>
      <v>17</v>
      <v>5</v>
      <v>17</v>
      <v>17</v>
      <v>17</v>
      <v>7</v>
      <v>9</v>
    </spb>
  </spbData>
</supportingPropertyBags>
</file>

<file path=xl/richData/rdsupportingpropertybagstructure.xml><?xml version="1.0" encoding="utf-8"?>
<spbStructures xmlns="http://schemas.microsoft.com/office/spreadsheetml/2017/richdata2" count="20">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Price" t="s"/>
    <k n="Change" t="s"/>
    <k n="Change (%)" t="s"/>
    <k n="ExchangeID" t="s"/>
    <k n="Last trade time" t="s"/>
  </s>
  <s>
    <k n="Price" t="s"/>
    <k n="Change" t="s"/>
    <k n="Change (%)" t="s"/>
    <k n="Last trade time" t="s"/>
    <k n="Price (Extended hours)" t="s"/>
    <k n="Change (Extended hours)" t="s"/>
    <k n="Change % (Extended hours)" t="s"/>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UniqueName" t="spb"/>
    <k n="`%ProviderInfo" t="spb"/>
    <k n="LearnMoreOnLink" t="spb"/>
  </s>
  <s>
    <k n="Low" t="i"/>
    <k n="High" t="i"/>
    <k n="Name" t="i"/>
    <k n="Open" t="i"/>
    <k n="Price" t="i"/>
    <k n="Change" t="i"/>
    <k n="Change (%)" t="i"/>
    <k n="52 week low" t="i"/>
    <k n="52 week high" t="i"/>
    <k n="Previous close" t="i"/>
    <k n="`%EntityServiceId" t="i"/>
  </s>
  <s>
    <k n="Change" t="s"/>
    <k n="Change (%)" t="s"/>
  </s>
  <s>
    <k n="^Order" t="spba"/>
    <k n="TitleProperty" t="s"/>
  </s>
  <s>
    <k n="UniqueName" t="spb"/>
    <k n="`%ProviderInfo" t="spb"/>
  </s>
  <s>
    <k n="Low" t="i"/>
    <k n="High" t="i"/>
    <k n="Name" t="i"/>
    <k n="Open" t="i"/>
    <k n="Price" t="i"/>
    <k n="Change" t="i"/>
    <k n="Change (%)" t="i"/>
    <k n="52 week low" t="i"/>
    <k n="52 week high" t="i"/>
    <k n="Previous close" t="i"/>
    <k n="Last trade time" t="i"/>
    <k n="`%EntityServiceId" t="i"/>
  </s>
  <s>
    <k n="Last trade time" t="s"/>
  </s>
  <s>
    <k n="UniqueName" t="spb"/>
    <k n="`%ProviderInfo" t="spb"/>
    <k n="LearnMoreOnLink" t="spb"/>
    <k n="Last update time" t="spb"/>
  </s>
  <s>
    <k n="Name" t="i"/>
    <k n="Price" t="i"/>
    <k n="Change" t="i"/>
    <k n="Rating" t="i"/>
    <k n="Change (%)" t="i"/>
    <k n="Net assets" t="i"/>
    <k n="Return (1m)" t="i"/>
    <k n="Return (1w)" t="i"/>
    <k n="Return (1y)" t="i"/>
    <k n="Return (3m)" t="i"/>
    <k n="Return (3y)" t="i"/>
    <k n="Return (5y)" t="i"/>
    <k n="Return (YTD)" t="i"/>
    <k n="Previous close" t="i"/>
    <k n="Last trade time" t="i"/>
    <k n="Last update time" t="i"/>
    <k n="`%EntityServiceId" t="i"/>
  </s>
  <s>
    <k n="Change" t="s"/>
    <k n="Change (%)" t="s"/>
    <k n="Last trade time" t="s"/>
    <k n="Last updat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9">
    <x:dxf>
      <x:numFmt numFmtId="0" formatCode="General"/>
    </x:dxf>
    <x:dxf>
      <x:numFmt numFmtId="4" formatCode="#,##0.00"/>
    </x:dxf>
    <x:dxf>
      <x:numFmt numFmtId="3" formatCode="#,##0"/>
    </x:dxf>
    <x:dxf>
      <x:numFmt numFmtId="14" formatCode="0.00%"/>
    </x:dxf>
    <x:dxf>
      <x:numFmt numFmtId="27" formatCode="dd/mm/yyyy\ hh:mm"/>
    </x:dxf>
    <x:dxf>
      <x:numFmt numFmtId="1" formatCode="0"/>
    </x:dxf>
    <x:dxf>
      <x:numFmt numFmtId="2" formatCode="0.00"/>
    </x:dxf>
    <x:dxf>
      <x:numFmt numFmtId="35" formatCode="_-* #,##0.00_-;\-* #,##0.00_-;_-* &quot;-&quot;??_-;_-@_-"/>
    </x:dxf>
    <x:dxf>
      <x:numFmt numFmtId="19" formatCode="dd/mm/yyyy"/>
    </x:dxf>
  </dxfs>
  <richProperties>
    <rPr n="NumberFormat" t="s"/>
    <rPr n="IsTitleField" t="b"/>
  </richProperties>
  <richStyles>
    <rSty dxfid="0">
      <rpv i="0">_([$€-x-euro2] * #,##0.00_);_([$€-x-euro2] * (#,##0.00);_([$€-x-euro2] * "-"??_);_(@_)</rpv>
    </rSty>
    <rSty dxfid="1">
      <rpv i="0">#,##0.00</rpv>
    </rSty>
    <rSty>
      <rpv i="1">1</rpv>
    </rSty>
    <rSty dxfid="2">
      <rpv i="0">#,##0</rpv>
    </rSty>
    <rSty dxfid="3"/>
    <rSty dxfid="0">
      <rpv i="0">_([$€-x-euro2] * #,##0_);_([$€-x-euro2] * (#,##0);_([$€-x-euro2] * "-"_);_(@_)</rpv>
    </rSty>
    <rSty dxfid="4"/>
    <rSty dxfid="5">
      <rpv i="0">0</rpv>
    </rSty>
    <rSty dxfid="6">
      <rpv i="0">0.00</rpv>
    </rSty>
    <rSty dxfid="0">
      <rpv i="0">_([$$-en-US]* #,##0.00_);_([$$-en-US]* (#,##0.00);_([$$-en-US]* "-"??_);_(@_)</rpv>
    </rSty>
    <rSty dxfid="0">
      <rpv i="0">_([$$-en-US]* #,##0_);_([$$-en-US]* (#,##0);_([$$-en-US]* "-"_);_(@_)</rpv>
    </rSty>
    <rSty dxfid="7">
      <rpv i="0">_(* #,##0.00_);_(* (#,##0.00);_(* "-"??_);_(@_)</rpv>
    </rSty>
    <rSty dxfid="0">
      <rpv i="0">_([$£-en-GB]* #,##0_);_([$£-en-GB]* (#,##0);_([$£-en-GB]* "-"_);_(@_)</rpv>
    </rSty>
    <rSty dxfid="0">
      <rpv i="0">_([$$-en-CA]* #,##0.00_);_([$$-en-CA]* (#,##0.00);_([$$-en-CA]* "-"??_);_(@_)</rpv>
    </rSty>
    <rSty dxfid="0">
      <rpv i="0">_([$$-en-CA]* #,##0_);_([$$-en-CA]* (#,##0);_([$$-en-CA]* "-"_);_(@_)</rpv>
    </rSty>
    <rSty dxfid="0">
      <rpv i="0">_([$HK$-zh-HK]* #,##0_);_([$HK$-zh-HK]* (#,##0);_([$HK$-zh-HK]* "-"_);_(@_)</rpv>
    </rSty>
    <rSty dxfid="0">
      <rpv i="0">_([$HK$-zh-HK]* #,##0.00_);_([$HK$-zh-HK]* (#,##0.00);_([$HK$-zh-HK]* "-"??_);_(@_)</rpv>
    </rSty>
    <rSty dxfid="0">
      <rpv i="0">_([$£-en-GB]* #,##0.00_);_([$£-en-GB]* (#,##0.00);_([$£-en-GB]* "-"??_);_(@_)</rpv>
    </rSty>
    <rSty dxfid="8"/>
    <rSty dxfid="0">
      <rpv i="0" xml:space="preserve">_ * #,##0.00_) [$CHF-fr-CH]_ ;_ * (#,##0.00) [$CHF-fr-CH]_ ;_ * "-"??_) [$CHF-fr-CH]_ ;_ @_ </rpv>
    </rSty>
    <rSty dxfid="0">
      <rpv i="0">_-* #,##0.00 [$kr-se-NO]_-;-* #,##0.00 [$kr-se-NO]_-;_-* "-"?? [$kr-se-NO]_-;_-@_-</rpv>
    </rSty>
    <rSty dxfid="0">
      <rpv i="0">_-* #,##0.00 [$kr-se-SE]_-;-* #,##0.00 [$kr-se-SE]_-;_-* "-"?? [$kr-se-SE]_-;_-@_-</rpv>
    </rSty>
    <rSty dxfid="0">
      <rpv i="0" xml:space="preserve">_ * #,##0.00_) [$kr-fo-FO]_ ;_ * (#,##0.00) [$kr-fo-FO]_ ;_ * "-"??_) [$kr-fo-FO]_ ;_ @_ </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48B5A-E9B5-2740-B036-344D8B3FF83D}">
  <sheetPr>
    <tabColor rgb="FF002060"/>
  </sheetPr>
  <dimension ref="B1:AD73"/>
  <sheetViews>
    <sheetView showGridLines="0" tabSelected="1" zoomScale="55" zoomScaleNormal="55" workbookViewId="0">
      <pane xSplit="3" ySplit="4" topLeftCell="P5" activePane="bottomRight" state="frozen"/>
      <selection pane="topRight" activeCell="D1" sqref="D1"/>
      <selection pane="bottomLeft" activeCell="A8" sqref="A8"/>
      <selection pane="bottomRight" activeCell="AD42" sqref="AD42"/>
    </sheetView>
  </sheetViews>
  <sheetFormatPr defaultColWidth="10.625" defaultRowHeight="15.75" x14ac:dyDescent="0.25"/>
  <cols>
    <col min="2" max="2" width="43.875" bestFit="1" customWidth="1"/>
    <col min="3" max="3" width="69.375" bestFit="1" customWidth="1"/>
    <col min="4" max="4" width="20.875" customWidth="1"/>
    <col min="5" max="5" width="22.375" bestFit="1" customWidth="1"/>
    <col min="6" max="11" width="20.875" customWidth="1"/>
    <col min="12" max="12" width="20.875" style="2" customWidth="1"/>
    <col min="13" max="13" width="22.5" bestFit="1" customWidth="1"/>
    <col min="14" max="20" width="20.875" customWidth="1"/>
    <col min="21" max="21" width="22.875" bestFit="1" customWidth="1"/>
    <col min="22" max="22" width="24" bestFit="1" customWidth="1"/>
    <col min="23" max="25" width="20.875" customWidth="1"/>
    <col min="26" max="26" width="19.625" customWidth="1"/>
    <col min="27" max="27" width="20.875" bestFit="1" customWidth="1"/>
    <col min="30" max="30" width="45" customWidth="1"/>
  </cols>
  <sheetData>
    <row r="1" spans="2:29" ht="33.950000000000003" customHeight="1" x14ac:dyDescent="0.3">
      <c r="H1" s="1"/>
      <c r="P1" s="3" t="s">
        <v>0</v>
      </c>
      <c r="Q1" s="4">
        <f ca="1">TODAY()</f>
        <v>44889</v>
      </c>
    </row>
    <row r="2" spans="2:29" ht="33.950000000000003" customHeight="1" x14ac:dyDescent="0.3">
      <c r="H2" s="1"/>
      <c r="O2" s="5"/>
      <c r="P2" s="3" t="s">
        <v>1</v>
      </c>
      <c r="Q2" s="6" t="s">
        <v>2</v>
      </c>
      <c r="R2" s="5"/>
      <c r="S2" s="5"/>
      <c r="T2" s="5"/>
      <c r="V2" s="7"/>
      <c r="W2" s="7"/>
    </row>
    <row r="3" spans="2:29" ht="39.950000000000003" customHeight="1" thickBot="1" x14ac:dyDescent="0.3">
      <c r="B3" s="203" t="s">
        <v>3</v>
      </c>
      <c r="C3" s="203"/>
      <c r="D3" s="203"/>
      <c r="E3" s="8" t="s">
        <v>4</v>
      </c>
      <c r="F3" s="8"/>
      <c r="G3" s="8"/>
      <c r="H3" s="8"/>
      <c r="I3" s="8"/>
      <c r="J3" s="8"/>
      <c r="K3" s="8"/>
      <c r="L3" s="202" t="s">
        <v>5</v>
      </c>
      <c r="M3" s="202"/>
      <c r="N3" s="202"/>
      <c r="O3" s="202"/>
      <c r="P3" s="202"/>
      <c r="Q3" s="202" t="s">
        <v>6</v>
      </c>
      <c r="R3" s="202"/>
      <c r="S3" s="202"/>
      <c r="T3" s="202"/>
      <c r="U3" s="202"/>
      <c r="V3" s="202"/>
      <c r="W3" s="9" t="s">
        <v>7</v>
      </c>
      <c r="X3" s="9"/>
      <c r="Y3" s="9"/>
      <c r="Z3" s="9"/>
      <c r="AA3" s="9"/>
    </row>
    <row r="4" spans="2:29" ht="41.1" customHeight="1" thickTop="1" thickBot="1" x14ac:dyDescent="0.3">
      <c r="B4" s="10" t="s">
        <v>8</v>
      </c>
      <c r="C4" s="10" t="s">
        <v>9</v>
      </c>
      <c r="D4" s="10" t="s">
        <v>10</v>
      </c>
      <c r="E4" s="11" t="s">
        <v>11</v>
      </c>
      <c r="F4" s="11" t="s">
        <v>12</v>
      </c>
      <c r="G4" s="11" t="s">
        <v>13</v>
      </c>
      <c r="H4" s="11" t="s">
        <v>14</v>
      </c>
      <c r="I4" s="12" t="s">
        <v>15</v>
      </c>
      <c r="J4" s="12" t="s">
        <v>16</v>
      </c>
      <c r="K4" s="11" t="s">
        <v>17</v>
      </c>
      <c r="L4" s="12" t="s">
        <v>18</v>
      </c>
      <c r="M4" s="13" t="s">
        <v>19</v>
      </c>
      <c r="N4" s="13" t="s">
        <v>20</v>
      </c>
      <c r="O4" s="14" t="s">
        <v>21</v>
      </c>
      <c r="P4" s="12" t="s">
        <v>22</v>
      </c>
      <c r="Q4" s="11" t="s">
        <v>23</v>
      </c>
      <c r="R4" s="11" t="s">
        <v>24</v>
      </c>
      <c r="S4" s="11" t="s">
        <v>25</v>
      </c>
      <c r="T4" s="15" t="s">
        <v>26</v>
      </c>
      <c r="U4" s="16" t="s">
        <v>27</v>
      </c>
      <c r="V4" s="13" t="s">
        <v>28</v>
      </c>
      <c r="W4" s="13" t="s">
        <v>29</v>
      </c>
      <c r="X4" s="16" t="s">
        <v>30</v>
      </c>
      <c r="Y4" s="11" t="s">
        <v>31</v>
      </c>
      <c r="Z4" s="13" t="s">
        <v>32</v>
      </c>
      <c r="AA4" s="13" t="s">
        <v>33</v>
      </c>
      <c r="AB4" s="16" t="s">
        <v>64</v>
      </c>
      <c r="AC4" s="16" t="s">
        <v>65</v>
      </c>
    </row>
    <row r="5" spans="2:29" x14ac:dyDescent="0.25">
      <c r="B5" s="207" t="s">
        <v>34</v>
      </c>
      <c r="C5" s="17" t="e" vm="1">
        <v>#VALUE!</v>
      </c>
      <c r="D5" s="18">
        <v>44120</v>
      </c>
      <c r="E5" s="19" cm="1">
        <f t="array" ref="E5">_FV(C5,"price",TRUE)</f>
        <v>27.594999999999999</v>
      </c>
      <c r="F5" s="19">
        <v>30.21</v>
      </c>
      <c r="G5" s="20">
        <f>E5/F5-1</f>
        <v>-8.6560741476332415E-2</v>
      </c>
      <c r="H5" s="21" t="str" cm="1">
        <f t="array" ref="H5">_FV(C5,"Currency")</f>
        <v>EUR</v>
      </c>
      <c r="I5" s="22">
        <f>E5/VLOOKUP(H5,$G$57:$I$65,3,FALSE)</f>
        <v>27.594999999999999</v>
      </c>
      <c r="J5" s="22">
        <v>27.75</v>
      </c>
      <c r="K5" s="22">
        <v>25.34</v>
      </c>
      <c r="L5" s="23">
        <v>40</v>
      </c>
      <c r="M5" s="24">
        <f>K5*L5</f>
        <v>1013.6</v>
      </c>
      <c r="N5" s="24">
        <f>E5*L5</f>
        <v>1103.8</v>
      </c>
      <c r="O5" s="25">
        <f>L5*I5</f>
        <v>1103.8</v>
      </c>
      <c r="P5" s="22">
        <f>13.6+14.62+17.68+15.64</f>
        <v>61.54</v>
      </c>
      <c r="Q5" s="26">
        <f>I5/J5-1</f>
        <v>-5.5855855855856396E-3</v>
      </c>
      <c r="R5" s="26">
        <f>(O5+P5)/(L5*K5)-1</f>
        <v>0.14970402525651139</v>
      </c>
      <c r="S5" s="22">
        <f>O5-(K5*L5)</f>
        <v>90.199999999999932</v>
      </c>
      <c r="T5" s="199">
        <f>SUMPRODUCT(Q5:Q9,Y5:Y9)</f>
        <v>1.336949336577857E-4</v>
      </c>
      <c r="U5" s="199">
        <f>SUMPRODUCT(R5:R9,Y5:Y9)</f>
        <v>-3.256275551964834E-3</v>
      </c>
      <c r="V5" s="27" cm="1">
        <f t="array" ref="V5">_FV(C5,"Market cap",TRUE)</f>
        <v>28856780000</v>
      </c>
      <c r="W5" s="22">
        <f>V5/VLOOKUP(H5,$G$57:$I$64,3,FALSE)/1000000000</f>
        <v>28.856780000000001</v>
      </c>
      <c r="X5" s="28" cm="1">
        <f t="array" ref="X5">_FV(C5,"P/E",TRUE)</f>
        <v>11.6653</v>
      </c>
      <c r="Y5" s="26">
        <f>O5/$E$59</f>
        <v>2.0562410940158246E-2</v>
      </c>
      <c r="Z5" s="204">
        <f>SUM($Y$5:$Y$9)</f>
        <v>9.8705454606388521E-2</v>
      </c>
      <c r="AA5" s="29">
        <v>2.5000000000000001E-2</v>
      </c>
      <c r="AB5" t="str" cm="1">
        <f t="array" ref="AB5">_FV(C5,"Ticker symbol",TRUE)</f>
        <v>AD</v>
      </c>
      <c r="AC5" t="str" cm="1">
        <f t="array" ref="AC5">_FV(C5,"Exchange abbreviation",TRUE)</f>
        <v>XAMS</v>
      </c>
    </row>
    <row r="6" spans="2:29" x14ac:dyDescent="0.25">
      <c r="B6" s="208"/>
      <c r="C6" s="30" t="e" vm="2">
        <v>#VALUE!</v>
      </c>
      <c r="D6" s="31">
        <v>44353</v>
      </c>
      <c r="E6" s="44" cm="1">
        <f t="array" ref="E6">_FV(C6,"Previous close",TRUE)</f>
        <v>540.4</v>
      </c>
      <c r="F6" s="44">
        <v>765</v>
      </c>
      <c r="G6" s="33">
        <f>E6/F6-1</f>
        <v>-0.29359477124183009</v>
      </c>
      <c r="H6" s="34" t="str" cm="1">
        <f t="array" ref="H6">_FV(C6,"Currency")</f>
        <v>EUR</v>
      </c>
      <c r="I6" s="35">
        <f>E6/VLOOKUP(H6,$G$57:$I$65,3,FALSE)</f>
        <v>540.4</v>
      </c>
      <c r="J6" s="35">
        <v>543.6</v>
      </c>
      <c r="K6" s="35">
        <v>600.1</v>
      </c>
      <c r="L6" s="36">
        <v>4</v>
      </c>
      <c r="M6" s="37">
        <f>K6*L6</f>
        <v>2400.4</v>
      </c>
      <c r="N6" s="37">
        <f>E6*L6</f>
        <v>2161.6</v>
      </c>
      <c r="O6" s="39">
        <f>L6*I6</f>
        <v>2161.6</v>
      </c>
      <c r="P6" s="35">
        <f>16.17+10.5+25.5</f>
        <v>52.17</v>
      </c>
      <c r="Q6" s="40">
        <f>I6/J6-1</f>
        <v>-5.8866813833702292E-3</v>
      </c>
      <c r="R6" s="40">
        <f>(O6+P6)/(L6*K6)-1</f>
        <v>-7.7749541743042827E-2</v>
      </c>
      <c r="S6" s="35">
        <f>O6-(K6*L6)</f>
        <v>-238.80000000000018</v>
      </c>
      <c r="T6" s="200"/>
      <c r="U6" s="200"/>
      <c r="V6" s="45" cm="1">
        <f t="array" ref="V6">_FV(C6,"Market cap",TRUE)</f>
        <v>68774950000</v>
      </c>
      <c r="W6" s="35">
        <f>V6/VLOOKUP(H6,$G$57:$I$64,3,FALSE)/1000000000</f>
        <v>68.774950000000004</v>
      </c>
      <c r="X6" s="42" cm="1">
        <f t="array" ref="X6">_FV(C6,"P/E",TRUE)</f>
        <v>18.178899999999999</v>
      </c>
      <c r="Y6" s="40">
        <f>O6/$E$59</f>
        <v>4.0267899518251556E-2</v>
      </c>
      <c r="Z6" s="205"/>
      <c r="AA6" s="43">
        <v>2.5000000000000001E-2</v>
      </c>
      <c r="AB6" t="str" cm="1">
        <f t="array" ref="AB6">_FV(C6,"Ticker symbol",TRUE)</f>
        <v>KER</v>
      </c>
      <c r="AC6" t="str" cm="1">
        <f t="array" ref="AC6">_FV(C6,"Exchange abbreviation",TRUE)</f>
        <v>XPAR</v>
      </c>
    </row>
    <row r="7" spans="2:29" x14ac:dyDescent="0.25">
      <c r="B7" s="208"/>
      <c r="C7" s="30" t="e" vm="3">
        <v>#VALUE!</v>
      </c>
      <c r="D7" s="31">
        <v>44628</v>
      </c>
      <c r="E7" s="32" cm="1">
        <f t="array" ref="E7">_FV(C7,"Previous close",TRUE)</f>
        <v>208.4</v>
      </c>
      <c r="F7" s="32">
        <v>259.52</v>
      </c>
      <c r="G7" s="33">
        <f>E7/F7-1</f>
        <v>-0.1969790382244142</v>
      </c>
      <c r="H7" s="34" t="str" cm="1">
        <f t="array" ref="H7">_FV(C7,"Currency")</f>
        <v>USD</v>
      </c>
      <c r="I7" s="35">
        <f>E7/VLOOKUP(H7,$G$57:$I$65,3,FALSE)</f>
        <v>201.85974428516079</v>
      </c>
      <c r="J7" s="35">
        <v>197.3724884080371</v>
      </c>
      <c r="K7" s="35">
        <v>209.32</v>
      </c>
      <c r="L7" s="36">
        <v>3</v>
      </c>
      <c r="M7" s="37">
        <f>K7*L7</f>
        <v>627.96</v>
      </c>
      <c r="N7" s="37">
        <f>E7*L7</f>
        <v>625.20000000000005</v>
      </c>
      <c r="O7" s="39">
        <f>L7*I7</f>
        <v>605.57923285548236</v>
      </c>
      <c r="P7" s="35">
        <f>1.59+2.15+2.21</f>
        <v>5.95</v>
      </c>
      <c r="Q7" s="40">
        <f>I7/J7-1</f>
        <v>2.2734961256844377E-2</v>
      </c>
      <c r="R7" s="40">
        <f>(O7+P7)/(L7*K7)-1</f>
        <v>-2.6165308530029963E-2</v>
      </c>
      <c r="S7" s="35">
        <f>O7-(K7*L7)</f>
        <v>-22.380767144517677</v>
      </c>
      <c r="T7" s="200"/>
      <c r="U7" s="200"/>
      <c r="V7" s="41" cm="1">
        <f t="array" ref="V7">_FV(C7,"Market cap",TRUE)</f>
        <v>130303700000</v>
      </c>
      <c r="W7" s="35">
        <f>V7/VLOOKUP(H7,$G$57:$I$64,3,FALSE)/1000000000</f>
        <v>126.21435490120108</v>
      </c>
      <c r="X7" s="42" cm="1">
        <f t="array" ref="X7">_FV(C7,"P/E",TRUE)</f>
        <v>20.434699999999999</v>
      </c>
      <c r="Y7" s="40">
        <f>O7/$E$59</f>
        <v>1.1281182318173771E-2</v>
      </c>
      <c r="Z7" s="205"/>
      <c r="AA7" s="46">
        <v>2.5000000000000001E-2</v>
      </c>
      <c r="AB7" t="str" cm="1">
        <f t="array" ref="AB7">_FV(C7,"Ticker symbol",TRUE)</f>
        <v>LOW</v>
      </c>
      <c r="AC7" t="str" cm="1">
        <f t="array" ref="AC7">_FV(C7,"Exchange abbreviation",TRUE)</f>
        <v>XNYS</v>
      </c>
    </row>
    <row r="8" spans="2:29" x14ac:dyDescent="0.25">
      <c r="B8" s="208"/>
      <c r="C8" s="30" t="e" vm="4">
        <v>#VALUE!</v>
      </c>
      <c r="D8" s="31">
        <v>44883</v>
      </c>
      <c r="E8" s="32" cm="1">
        <f t="array" ref="E8">_FV(C8,"Previous close",TRUE)</f>
        <v>162.01</v>
      </c>
      <c r="F8" s="32">
        <v>186.5</v>
      </c>
      <c r="G8" s="33">
        <f>E8/F8-1</f>
        <v>-0.13131367292225204</v>
      </c>
      <c r="H8" s="34" t="str" cm="1">
        <f t="array" ref="H8">_FV(C8,"Currency")</f>
        <v>USD</v>
      </c>
      <c r="I8" s="35">
        <f>E8/VLOOKUP(H8,$G$57:$I$65,3,FALSE)</f>
        <v>156.92561022859357</v>
      </c>
      <c r="J8" s="35">
        <v>156</v>
      </c>
      <c r="K8" s="35">
        <v>156</v>
      </c>
      <c r="L8" s="36">
        <v>7</v>
      </c>
      <c r="M8" s="37">
        <v>1100.74</v>
      </c>
      <c r="N8" s="37">
        <f>E8*L8</f>
        <v>1134.07</v>
      </c>
      <c r="O8" s="39">
        <f>L8*I8</f>
        <v>1098.479271600155</v>
      </c>
      <c r="P8" s="35"/>
      <c r="Q8" s="40">
        <f>I8/J8-1</f>
        <v>5.9333989012408939E-3</v>
      </c>
      <c r="R8" s="40">
        <f>(O8+P8)/(L8*K8)-1</f>
        <v>5.9333989012408939E-3</v>
      </c>
      <c r="S8" s="35">
        <f>O8-(K8*L8)</f>
        <v>6.4792716001550161</v>
      </c>
      <c r="T8" s="200"/>
      <c r="U8" s="200"/>
      <c r="V8" s="41" cm="1">
        <f t="array" ref="V8">_FV(C8,"Market cap",TRUE)</f>
        <v>74967580000</v>
      </c>
      <c r="W8" s="35">
        <f>V8/VLOOKUP(H8,$G$57:$I$64,3,FALSE)/1000000000</f>
        <v>72.614858581944972</v>
      </c>
      <c r="X8" s="42" cm="1">
        <f t="array" ref="X8">_FV(C8,"P/E",TRUE)</f>
        <v>18.496300000000002</v>
      </c>
      <c r="Y8" s="40">
        <f>O8/$E$59</f>
        <v>2.0463292436934309E-2</v>
      </c>
      <c r="Z8" s="205"/>
      <c r="AA8" s="46" t="s">
        <v>37</v>
      </c>
      <c r="AB8" t="str" cm="1">
        <f t="array" ref="AB8">_FV(C8,"Ticker symbol",TRUE)</f>
        <v>TGT</v>
      </c>
      <c r="AC8" t="str" cm="1">
        <f t="array" ref="AC8">_FV(C8,"Exchange abbreviation",TRUE)</f>
        <v>XNYS</v>
      </c>
    </row>
    <row r="9" spans="2:29" ht="16.5" thickBot="1" x14ac:dyDescent="0.3">
      <c r="B9" s="209"/>
      <c r="C9" s="47" t="e" vm="5">
        <v>#VALUE!</v>
      </c>
      <c r="D9" s="48">
        <v>44461</v>
      </c>
      <c r="E9" s="49" cm="1">
        <f t="array" ref="E9">_FV(C9,"Previous close",TRUE)</f>
        <v>10.96</v>
      </c>
      <c r="F9" s="50">
        <v>54.22</v>
      </c>
      <c r="G9" s="51">
        <f>E9/F9-1</f>
        <v>-0.79786056805606786</v>
      </c>
      <c r="H9" s="52" t="str" cm="1">
        <f t="array" ref="H9">_FV(C9,"Currency")</f>
        <v>USD</v>
      </c>
      <c r="I9" s="53">
        <f>E9/VLOOKUP(H9,$G$57:$I$65,3,FALSE)</f>
        <v>10.616040294459513</v>
      </c>
      <c r="J9" s="53">
        <v>10.432766615146834</v>
      </c>
      <c r="K9" s="53">
        <v>20.99</v>
      </c>
      <c r="L9" s="54">
        <f>44+37-50</f>
        <v>31</v>
      </c>
      <c r="M9" s="55">
        <f>K9*L9</f>
        <v>650.68999999999994</v>
      </c>
      <c r="N9" s="56">
        <f>E9*L9</f>
        <v>339.76000000000005</v>
      </c>
      <c r="O9" s="57">
        <f>L9*I9</f>
        <v>329.09724912824487</v>
      </c>
      <c r="P9" s="53"/>
      <c r="Q9" s="58">
        <f>I9/J9-1</f>
        <v>1.7567121557822585E-2</v>
      </c>
      <c r="R9" s="59">
        <f>(O9+P9)/(L9*K9)-1</f>
        <v>-0.49423343046881785</v>
      </c>
      <c r="S9" s="60">
        <f>O9-(K9*L9)</f>
        <v>-321.59275087175507</v>
      </c>
      <c r="T9" s="201"/>
      <c r="U9" s="201"/>
      <c r="V9" s="61" cm="1">
        <f t="array" ref="V9">_FV(C9,"Market cap",TRUE)</f>
        <v>26153820000</v>
      </c>
      <c r="W9" s="53">
        <f>V9/VLOOKUP(H9,$G$57:$I$64,3,FALSE)/1000000000</f>
        <v>25.333029833397909</v>
      </c>
      <c r="X9" s="62" cm="1">
        <f t="array" ref="X9">_FV(C9,"P/E",TRUE)</f>
        <v>7.2262000000000004</v>
      </c>
      <c r="Y9" s="58">
        <f>O9/$E$59</f>
        <v>6.1306693928706345E-3</v>
      </c>
      <c r="Z9" s="206"/>
      <c r="AA9" s="63">
        <v>2.5000000000000001E-2</v>
      </c>
      <c r="AB9" t="str" cm="1">
        <f t="array" ref="AB9">_FV(C9,"Ticker symbol",TRUE)</f>
        <v>WBD</v>
      </c>
      <c r="AC9" t="str" cm="1">
        <f t="array" ref="AC9">_FV(C9,"Exchange abbreviation",TRUE)</f>
        <v>XNAS</v>
      </c>
    </row>
    <row r="10" spans="2:29" ht="16.5" thickBot="1" x14ac:dyDescent="0.3">
      <c r="B10" s="64"/>
      <c r="C10" s="65"/>
      <c r="D10" s="66"/>
      <c r="E10" s="67"/>
      <c r="F10" s="67"/>
      <c r="G10" s="68"/>
      <c r="H10" s="65"/>
      <c r="I10" s="69"/>
      <c r="J10" s="69"/>
      <c r="K10" s="69"/>
      <c r="L10" s="70"/>
      <c r="M10" s="71"/>
      <c r="N10" s="67"/>
      <c r="O10" s="69"/>
      <c r="P10" s="69"/>
      <c r="Q10" s="72"/>
      <c r="R10" s="72"/>
      <c r="S10" s="69"/>
      <c r="T10" s="73"/>
      <c r="U10" s="73"/>
      <c r="V10" s="74"/>
      <c r="W10" s="69"/>
      <c r="X10" s="75"/>
      <c r="Y10" s="72"/>
      <c r="Z10" s="76"/>
      <c r="AA10" s="77"/>
      <c r="AB10" t="e" cm="1" vm="6">
        <f t="array" ref="AB10">_FV(C10,"Ticker symbol",TRUE)</f>
        <v>#VALUE!</v>
      </c>
      <c r="AC10" t="e" cm="1" vm="7">
        <f t="array" ref="AC10">_FV(C10,"Exchange abbreviation",TRUE)</f>
        <v>#VALUE!</v>
      </c>
    </row>
    <row r="11" spans="2:29" x14ac:dyDescent="0.25">
      <c r="B11" s="207" t="s">
        <v>35</v>
      </c>
      <c r="C11" s="17" t="e" vm="8">
        <v>#VALUE!</v>
      </c>
      <c r="D11" s="18">
        <v>44120</v>
      </c>
      <c r="E11" s="78" cm="1">
        <f t="array" ref="E11">_FV(C11,"Previous close",TRUE)</f>
        <v>341.27</v>
      </c>
      <c r="F11" s="78">
        <v>345</v>
      </c>
      <c r="G11" s="20">
        <f t="shared" ref="G11:G16" si="0">E11/F11-1</f>
        <v>-1.0811594202898567E-2</v>
      </c>
      <c r="H11" s="21" t="str" cm="1">
        <f t="array" ref="H11">_FV(C11,"Currency")</f>
        <v>USD</v>
      </c>
      <c r="I11" s="22">
        <f t="shared" ref="I11:I16" si="1">E11/VLOOKUP(H11,$G$57:$I$65,3,FALSE)</f>
        <v>330.55986051917859</v>
      </c>
      <c r="J11" s="22">
        <v>325.80177743431221</v>
      </c>
      <c r="K11" s="22">
        <v>296.73</v>
      </c>
      <c r="L11" s="23">
        <v>1</v>
      </c>
      <c r="M11" s="24">
        <f t="shared" ref="M11:M16" si="2">K11*L11</f>
        <v>296.73</v>
      </c>
      <c r="N11" s="79">
        <f t="shared" ref="N11:N16" si="3">E11*L11</f>
        <v>341.27</v>
      </c>
      <c r="O11" s="25">
        <f t="shared" ref="O11:O16" si="4">L11*I11</f>
        <v>330.55986051917859</v>
      </c>
      <c r="P11" s="22">
        <f>0.24+0.25+0.26+0.27+0.3+0.32+0.33+0.34</f>
        <v>2.31</v>
      </c>
      <c r="Q11" s="26">
        <f t="shared" ref="Q11:Q16" si="5">I11/J11-1</f>
        <v>1.4604226908570883E-2</v>
      </c>
      <c r="R11" s="26">
        <f t="shared" ref="R11:R16" si="6">(O11+P11)/(L11*K11)-1</f>
        <v>0.12179375364532929</v>
      </c>
      <c r="S11" s="22">
        <f t="shared" ref="S11:S16" si="7">O11-(K11*L11)</f>
        <v>33.829860519178567</v>
      </c>
      <c r="T11" s="199">
        <f>SUMPRODUCT(Q11:Q16,Y11:Y16)</f>
        <v>-1.3623980326704509E-3</v>
      </c>
      <c r="U11" s="199">
        <f>SUMPRODUCT(R11:R16,Y11:Y16)</f>
        <v>8.3050771855929274E-3</v>
      </c>
      <c r="V11" s="80" cm="1">
        <f t="array" ref="V11">_FV(C11,"Market cap",TRUE)</f>
        <v>330444100000</v>
      </c>
      <c r="W11" s="22">
        <f t="shared" ref="W11:W16" si="8">V11/VLOOKUP(H11,$G$57:$I$64,3,FALSE)/1000000000</f>
        <v>320.07371173963583</v>
      </c>
      <c r="X11" s="28" cm="1">
        <f t="array" ref="X11">_FV(C11,"P/E",TRUE)</f>
        <v>34.092500000000001</v>
      </c>
      <c r="Y11" s="26">
        <f t="shared" ref="Y11:Y16" si="9">O11/$E$59</f>
        <v>6.1579160104337219E-3</v>
      </c>
      <c r="Z11" s="204">
        <f>SUM($Y$11:$Y$16)</f>
        <v>0.11175537117096959</v>
      </c>
      <c r="AA11" s="29">
        <v>2.5000000000000001E-2</v>
      </c>
      <c r="AB11" t="str" cm="1">
        <f t="array" ref="AB11">_FV(C11,"Ticker symbol",TRUE)</f>
        <v>MA</v>
      </c>
      <c r="AC11" t="str" cm="1">
        <f t="array" ref="AC11">_FV(C11,"Exchange abbreviation",TRUE)</f>
        <v>XNYS</v>
      </c>
    </row>
    <row r="12" spans="2:29" x14ac:dyDescent="0.25">
      <c r="B12" s="208"/>
      <c r="C12" s="30" t="e" vm="9">
        <v>#VALUE!</v>
      </c>
      <c r="D12" s="31">
        <v>44120</v>
      </c>
      <c r="E12" s="81" cm="1">
        <f t="array" ref="E12">_FV(C12,"Previous close",TRUE)</f>
        <v>202.35</v>
      </c>
      <c r="F12" s="81">
        <v>227</v>
      </c>
      <c r="G12" s="33">
        <f t="shared" si="0"/>
        <v>-0.10859030837004413</v>
      </c>
      <c r="H12" s="34" t="str" cm="1">
        <f t="array" ref="H12">_FV(C12,"Currency")</f>
        <v>EUR</v>
      </c>
      <c r="I12" s="35">
        <f t="shared" si="1"/>
        <v>202.35</v>
      </c>
      <c r="J12" s="35">
        <v>200.85</v>
      </c>
      <c r="K12" s="35">
        <v>163.44</v>
      </c>
      <c r="L12" s="36">
        <v>4</v>
      </c>
      <c r="M12" s="37">
        <f t="shared" si="2"/>
        <v>653.76</v>
      </c>
      <c r="N12" s="37">
        <f t="shared" si="3"/>
        <v>809.4</v>
      </c>
      <c r="O12" s="39">
        <f t="shared" si="4"/>
        <v>809.4</v>
      </c>
      <c r="P12" s="35">
        <f>28.27+31.81</f>
        <v>60.08</v>
      </c>
      <c r="Q12" s="40">
        <f t="shared" si="5"/>
        <v>7.4682598954443069E-3</v>
      </c>
      <c r="R12" s="40">
        <f t="shared" si="6"/>
        <v>0.32996818404307393</v>
      </c>
      <c r="S12" s="35">
        <f t="shared" si="7"/>
        <v>155.63999999999999</v>
      </c>
      <c r="T12" s="200"/>
      <c r="U12" s="200"/>
      <c r="V12" s="45" cm="1">
        <f t="array" ref="V12">_FV(C12,"Market cap",TRUE)</f>
        <v>83304980000</v>
      </c>
      <c r="W12" s="35">
        <f t="shared" si="8"/>
        <v>83.30498</v>
      </c>
      <c r="X12" s="42" cm="1">
        <f t="array" ref="X12">_FV(C12,"P/E",TRUE)</f>
        <v>19.22</v>
      </c>
      <c r="Y12" s="40">
        <f t="shared" si="9"/>
        <v>1.5078107822942638E-2</v>
      </c>
      <c r="Z12" s="205"/>
      <c r="AA12" s="43">
        <v>2.5000000000000001E-2</v>
      </c>
      <c r="AB12" t="str" cm="1">
        <f t="array" ref="AB12">_FV(C12,"Ticker symbol",TRUE)</f>
        <v>ALV</v>
      </c>
      <c r="AC12" t="str" cm="1">
        <f t="array" ref="AC12">_FV(C12,"Exchange abbreviation",TRUE)</f>
        <v>XFRA</v>
      </c>
    </row>
    <row r="13" spans="2:29" x14ac:dyDescent="0.25">
      <c r="B13" s="208"/>
      <c r="C13" s="30" t="e" vm="10">
        <v>#VALUE!</v>
      </c>
      <c r="D13" s="31">
        <v>44312</v>
      </c>
      <c r="E13" s="82" cm="1">
        <f t="array" ref="E13">_FV(C13,"Previous close",TRUE)</f>
        <v>346.77</v>
      </c>
      <c r="F13" s="82">
        <v>425</v>
      </c>
      <c r="G13" s="33">
        <f t="shared" si="0"/>
        <v>-0.18407058823529421</v>
      </c>
      <c r="H13" s="34" t="str" cm="1">
        <f t="array" ref="H13">_FV(C13,"Currency")</f>
        <v>USD</v>
      </c>
      <c r="I13" s="35">
        <f t="shared" si="1"/>
        <v>335.8872530027121</v>
      </c>
      <c r="J13" s="35">
        <v>334.43778979907268</v>
      </c>
      <c r="K13" s="35">
        <v>321.12599999999998</v>
      </c>
      <c r="L13" s="36">
        <v>5</v>
      </c>
      <c r="M13" s="37">
        <f t="shared" si="2"/>
        <v>1605.6299999999999</v>
      </c>
      <c r="N13" s="38">
        <f t="shared" si="3"/>
        <v>1733.85</v>
      </c>
      <c r="O13" s="39">
        <f t="shared" si="4"/>
        <v>1679.4362650135604</v>
      </c>
      <c r="P13" s="35">
        <f>2.26+2.38+2.45+2.76+2.95</f>
        <v>12.8</v>
      </c>
      <c r="Q13" s="40">
        <f t="shared" si="5"/>
        <v>4.3340293706348731E-3</v>
      </c>
      <c r="R13" s="40">
        <f t="shared" si="6"/>
        <v>5.3939117364249833E-2</v>
      </c>
      <c r="S13" s="35">
        <f t="shared" si="7"/>
        <v>73.806265013560505</v>
      </c>
      <c r="T13" s="200"/>
      <c r="U13" s="200"/>
      <c r="V13" s="41" cm="1">
        <f t="array" ref="V13">_FV(C13,"Market cap",TRUE)</f>
        <v>112684400000</v>
      </c>
      <c r="W13" s="35">
        <f t="shared" si="8"/>
        <v>109.14800464936071</v>
      </c>
      <c r="X13" s="42" cm="1">
        <f t="array" ref="X13">_FV(C13,"P/E",TRUE)</f>
        <v>28.9941</v>
      </c>
      <c r="Y13" s="40">
        <f t="shared" si="9"/>
        <v>3.128579328593345E-2</v>
      </c>
      <c r="Z13" s="205"/>
      <c r="AA13" s="43">
        <v>2.5000000000000001E-2</v>
      </c>
      <c r="AB13" t="str" cm="1">
        <f t="array" ref="AB13">_FV(C13,"Ticker symbol",TRUE)</f>
        <v>SPGI</v>
      </c>
      <c r="AC13" t="str" cm="1">
        <f t="array" ref="AC13">_FV(C13,"Exchange abbreviation",TRUE)</f>
        <v>XNYS</v>
      </c>
    </row>
    <row r="14" spans="2:29" x14ac:dyDescent="0.25">
      <c r="B14" s="208"/>
      <c r="C14" s="30" t="e" vm="11">
        <v>#VALUE!</v>
      </c>
      <c r="D14" s="31">
        <v>44461</v>
      </c>
      <c r="E14" s="82" cm="1">
        <f t="array" ref="E14">_FV(C14,"Previous close",TRUE)</f>
        <v>51.94</v>
      </c>
      <c r="F14" s="82">
        <v>77.510000000000005</v>
      </c>
      <c r="G14" s="33">
        <f t="shared" si="0"/>
        <v>-0.32989291704296231</v>
      </c>
      <c r="H14" s="34" t="str" cm="1">
        <f t="array" ref="H14">_FV(C14,"Currency")</f>
        <v>USD</v>
      </c>
      <c r="I14" s="35">
        <f t="shared" si="1"/>
        <v>50.309957380860133</v>
      </c>
      <c r="J14" s="35">
        <v>54.462905718701705</v>
      </c>
      <c r="K14" s="35">
        <v>54.64</v>
      </c>
      <c r="L14" s="36">
        <v>17</v>
      </c>
      <c r="M14" s="37">
        <f t="shared" si="2"/>
        <v>928.88</v>
      </c>
      <c r="N14" s="38">
        <f t="shared" si="3"/>
        <v>882.98</v>
      </c>
      <c r="O14" s="39">
        <f t="shared" si="4"/>
        <v>855.2692754746223</v>
      </c>
      <c r="P14" s="35">
        <f>1.53+1.55+1.71+1.84</f>
        <v>6.63</v>
      </c>
      <c r="Q14" s="40">
        <f t="shared" si="5"/>
        <v>-7.6252786792011307E-2</v>
      </c>
      <c r="R14" s="40">
        <f t="shared" si="6"/>
        <v>-7.2109125533306395E-2</v>
      </c>
      <c r="S14" s="35">
        <f t="shared" si="7"/>
        <v>-73.610724525377691</v>
      </c>
      <c r="T14" s="200"/>
      <c r="U14" s="200"/>
      <c r="V14" s="41" cm="1">
        <f t="array" ref="V14">_FV(C14,"Market cap",TRUE)</f>
        <v>44640040000</v>
      </c>
      <c r="W14" s="35">
        <f t="shared" si="8"/>
        <v>43.239093374660989</v>
      </c>
      <c r="X14" s="42" cm="1">
        <f t="array" ref="X14">_FV(C14,"P/E",TRUE)</f>
        <v>36.703499999999998</v>
      </c>
      <c r="Y14" s="40">
        <f t="shared" si="9"/>
        <v>1.5932594950897438E-2</v>
      </c>
      <c r="Z14" s="205"/>
      <c r="AA14" s="43">
        <v>2.5000000000000001E-2</v>
      </c>
      <c r="AB14" t="str" cm="1">
        <f t="array" ref="AB14">_FV(C14,"Ticker symbol",TRUE)</f>
        <v>KKR</v>
      </c>
      <c r="AC14" t="str" cm="1">
        <f t="array" ref="AC14">_FV(C14,"Exchange abbreviation",TRUE)</f>
        <v>XNYS</v>
      </c>
    </row>
    <row r="15" spans="2:29" x14ac:dyDescent="0.25">
      <c r="B15" s="208"/>
      <c r="C15" s="30" t="e" vm="12">
        <v>#VALUE!</v>
      </c>
      <c r="D15" s="31">
        <v>44615</v>
      </c>
      <c r="E15" s="83" cm="1">
        <f t="array" ref="E15">(_FV(C15,"Previous close",TRUE))/100</f>
        <v>1.5666</v>
      </c>
      <c r="F15" s="83">
        <v>2.11</v>
      </c>
      <c r="G15" s="33">
        <f t="shared" si="0"/>
        <v>-0.25753554502369669</v>
      </c>
      <c r="H15" s="34" t="str" cm="1">
        <f t="array" ref="H15">_FV(C15,"Currency")</f>
        <v>GBp</v>
      </c>
      <c r="I15" s="35">
        <f t="shared" si="1"/>
        <v>1.8046308029028915</v>
      </c>
      <c r="J15" s="35">
        <v>1.809469350411711</v>
      </c>
      <c r="K15" s="35">
        <v>2.2999999999999998</v>
      </c>
      <c r="L15" s="36">
        <v>416</v>
      </c>
      <c r="M15" s="84">
        <f t="shared" si="2"/>
        <v>956.8</v>
      </c>
      <c r="N15" s="85">
        <f t="shared" si="3"/>
        <v>651.7056</v>
      </c>
      <c r="O15" s="39">
        <f t="shared" si="4"/>
        <v>750.7264140076029</v>
      </c>
      <c r="P15" s="35">
        <f>0.04+0.97</f>
        <v>1.01</v>
      </c>
      <c r="Q15" s="40">
        <f t="shared" si="5"/>
        <v>-2.6740146262873576E-3</v>
      </c>
      <c r="R15" s="40">
        <f t="shared" si="6"/>
        <v>-0.21432230977466249</v>
      </c>
      <c r="S15" s="35">
        <f t="shared" si="7"/>
        <v>-206.07358599239706</v>
      </c>
      <c r="T15" s="200"/>
      <c r="U15" s="200"/>
      <c r="V15" s="86" cm="1">
        <f t="array" ref="V15">_FV(C15,"Market cap",TRUE)</f>
        <v>25085960000</v>
      </c>
      <c r="W15" s="35">
        <f t="shared" si="8"/>
        <v>28.897546365626081</v>
      </c>
      <c r="X15" s="42" cm="1">
        <f t="array" ref="X15">_FV(C15,"P/E",TRUE)</f>
        <v>4.9264000000000001</v>
      </c>
      <c r="Y15" s="40">
        <f t="shared" si="9"/>
        <v>1.3985092433824699E-2</v>
      </c>
      <c r="Z15" s="205"/>
      <c r="AA15" s="46"/>
      <c r="AB15" t="str" cm="1">
        <f t="array" ref="AB15">_FV(C15,"Ticker symbol",TRUE)</f>
        <v>BARC</v>
      </c>
      <c r="AC15" t="str" cm="1">
        <f t="array" ref="AC15">_FV(C15,"Exchange abbreviation",TRUE)</f>
        <v>XLON</v>
      </c>
    </row>
    <row r="16" spans="2:29" ht="16.5" thickBot="1" x14ac:dyDescent="0.3">
      <c r="B16" s="209"/>
      <c r="C16" s="47" t="e" vm="13">
        <v>#VALUE!</v>
      </c>
      <c r="D16" s="48">
        <v>44522</v>
      </c>
      <c r="E16" s="49" cm="1">
        <f t="array" ref="E16">(_FV(C16,"Previous close",TRUE))/100</f>
        <v>80.36</v>
      </c>
      <c r="F16" s="50">
        <v>90.28</v>
      </c>
      <c r="G16" s="51">
        <f t="shared" si="0"/>
        <v>-0.10988037217545421</v>
      </c>
      <c r="H16" s="52" t="str" cm="1">
        <f t="array" ref="H16">_FV(C16,"Currency")</f>
        <v>GBp</v>
      </c>
      <c r="I16" s="53">
        <f t="shared" si="1"/>
        <v>92.569980417002654</v>
      </c>
      <c r="J16" s="53">
        <v>94.007319304666069</v>
      </c>
      <c r="K16" s="53">
        <v>80.650000000000006</v>
      </c>
      <c r="L16" s="54">
        <v>17</v>
      </c>
      <c r="M16" s="55">
        <f t="shared" si="2"/>
        <v>1371.0500000000002</v>
      </c>
      <c r="N16" s="56">
        <f t="shared" si="3"/>
        <v>1366.12</v>
      </c>
      <c r="O16" s="57">
        <f t="shared" si="4"/>
        <v>1573.6896670890451</v>
      </c>
      <c r="P16" s="53">
        <f>26.88+6.12</f>
        <v>33</v>
      </c>
      <c r="Q16" s="58">
        <f t="shared" si="5"/>
        <v>-1.5289648702833225E-2</v>
      </c>
      <c r="R16" s="58">
        <f t="shared" si="6"/>
        <v>0.17186803332412737</v>
      </c>
      <c r="S16" s="53">
        <f t="shared" si="7"/>
        <v>202.63966708904491</v>
      </c>
      <c r="T16" s="201"/>
      <c r="U16" s="201"/>
      <c r="V16" s="87" cm="1">
        <f t="array" ref="V16">_FV(C16,"Market cap",TRUE)</f>
        <v>40932640000</v>
      </c>
      <c r="W16" s="53">
        <f t="shared" si="8"/>
        <v>47.15198709826057</v>
      </c>
      <c r="X16" s="62" cm="1">
        <f t="array" ref="X16">_FV(C16,"P/E",TRUE)</f>
        <v>49.906799999999997</v>
      </c>
      <c r="Y16" s="58">
        <f t="shared" si="9"/>
        <v>2.9315866666937643E-2</v>
      </c>
      <c r="Z16" s="206"/>
      <c r="AA16" s="63">
        <v>6.3200000000000006E-2</v>
      </c>
      <c r="AB16" t="str" cm="1">
        <f t="array" ref="AB16">_FV(C16,"Ticker symbol",TRUE)</f>
        <v>LSEG</v>
      </c>
      <c r="AC16" t="str" cm="1">
        <f t="array" ref="AC16">_FV(C16,"Exchange abbreviation",TRUE)</f>
        <v>XLON</v>
      </c>
    </row>
    <row r="17" spans="2:29" ht="16.5" thickBot="1" x14ac:dyDescent="0.3">
      <c r="B17" s="64"/>
      <c r="C17" s="65"/>
      <c r="D17" s="66"/>
      <c r="E17" s="88"/>
      <c r="F17" s="88"/>
      <c r="G17" s="68"/>
      <c r="H17" s="65"/>
      <c r="I17" s="69"/>
      <c r="J17" s="69"/>
      <c r="K17" s="69"/>
      <c r="L17" s="70"/>
      <c r="M17" s="71"/>
      <c r="N17" s="88"/>
      <c r="O17" s="69"/>
      <c r="P17" s="69"/>
      <c r="Q17" s="72"/>
      <c r="R17" s="72"/>
      <c r="S17" s="72"/>
      <c r="T17" s="73"/>
      <c r="U17" s="73"/>
      <c r="V17" s="89"/>
      <c r="W17" s="69"/>
      <c r="X17" s="75"/>
      <c r="Y17" s="72"/>
      <c r="Z17" s="76"/>
      <c r="AA17" s="77"/>
      <c r="AB17" t="e" cm="1" vm="6">
        <f t="array" ref="AB17">_FV(C17,"Ticker symbol",TRUE)</f>
        <v>#VALUE!</v>
      </c>
      <c r="AC17" t="e" cm="1" vm="7">
        <f t="array" ref="AC17">_FV(C17,"Exchange abbreviation",TRUE)</f>
        <v>#VALUE!</v>
      </c>
    </row>
    <row r="18" spans="2:29" x14ac:dyDescent="0.25">
      <c r="B18" s="207" t="s">
        <v>36</v>
      </c>
      <c r="C18" s="17" t="e" vm="14">
        <v>#VALUE!</v>
      </c>
      <c r="D18" s="18">
        <v>44165</v>
      </c>
      <c r="E18" s="78" cm="1">
        <f t="array" ref="E18">_FV(C18,"Previous close",TRUE)</f>
        <v>639.94000000000005</v>
      </c>
      <c r="F18" s="78">
        <v>840</v>
      </c>
      <c r="G18" s="20">
        <f>E18/F18-1</f>
        <v>-0.23816666666666664</v>
      </c>
      <c r="H18" s="21" t="str" cm="1">
        <f t="array" ref="H18">_FV(C18,"Currency")</f>
        <v>USD</v>
      </c>
      <c r="I18" s="22">
        <f>E18/VLOOKUP(H18,$G$57:$I$65,3,FALSE)</f>
        <v>619.85664471135226</v>
      </c>
      <c r="J18" s="22">
        <v>625.96599690880998</v>
      </c>
      <c r="K18" s="22">
        <v>588.04</v>
      </c>
      <c r="L18" s="23">
        <v>3</v>
      </c>
      <c r="M18" s="24">
        <f>K18*L18</f>
        <v>1764.12</v>
      </c>
      <c r="N18" s="79">
        <f>E18*L18</f>
        <v>1919.8200000000002</v>
      </c>
      <c r="O18" s="25">
        <f>L18*I18</f>
        <v>1859.5699341340569</v>
      </c>
      <c r="P18" s="22">
        <f>5.04+4.96+5.12+5.31+5.89+6.22+6.56</f>
        <v>39.1</v>
      </c>
      <c r="Q18" s="26">
        <f>I18/J18-1</f>
        <v>-9.7598786956917261E-3</v>
      </c>
      <c r="R18" s="26">
        <f>(O18+P18)/(L18*K18)-1</f>
        <v>7.6270284410389744E-2</v>
      </c>
      <c r="S18" s="22">
        <f>O18-(K18*L18)</f>
        <v>95.449934134057003</v>
      </c>
      <c r="T18" s="199">
        <f>SUMPRODUCT(Q18:Q21,Y18:Y21)</f>
        <v>-1.4280283460781347E-3</v>
      </c>
      <c r="U18" s="199">
        <f>SUMPRODUCT(R18:R21,Y18:Y21)</f>
        <v>-4.3595370958494119E-3</v>
      </c>
      <c r="V18" s="80" cm="1">
        <f t="array" ref="V18">_FV(C18,"Market cap",TRUE)</f>
        <v>59910100000</v>
      </c>
      <c r="W18" s="22">
        <f>V18/VLOOKUP(H18,$G$57:$I$64,3,FALSE)/1000000000</f>
        <v>58.029930259589307</v>
      </c>
      <c r="X18" s="28" cm="1">
        <f t="array" ref="X18">_FV(C18,"P/E",TRUE)</f>
        <v>83.751800000000003</v>
      </c>
      <c r="Y18" s="26">
        <f>O18/$E$59</f>
        <v>3.4641457834415183E-2</v>
      </c>
      <c r="Z18" s="204">
        <f>SUM($Y$18:$Y$21)</f>
        <v>7.3808380360765716E-2</v>
      </c>
      <c r="AA18" s="29">
        <v>2.5000000000000001E-2</v>
      </c>
      <c r="AB18" t="str" cm="1">
        <f t="array" ref="AB18">_FV(C18,"Ticker symbol",TRUE)</f>
        <v>EQIX</v>
      </c>
      <c r="AC18" t="str" cm="1">
        <f t="array" ref="AC18">_FV(C18,"Exchange abbreviation",TRUE)</f>
        <v>XNAS</v>
      </c>
    </row>
    <row r="19" spans="2:29" x14ac:dyDescent="0.25">
      <c r="B19" s="208"/>
      <c r="C19" s="30" t="e" vm="15">
        <v>#VALUE!</v>
      </c>
      <c r="D19" s="31">
        <v>44515</v>
      </c>
      <c r="E19" s="82" cm="1">
        <f t="array" ref="E19">_FV(C19,"Previous close",TRUE)</f>
        <v>39.93</v>
      </c>
      <c r="F19" s="82">
        <v>94.27</v>
      </c>
      <c r="G19" s="33">
        <f>E19/F19-1</f>
        <v>-0.57642940490081673</v>
      </c>
      <c r="H19" s="34" t="str" cm="1">
        <f t="array" ref="H19">_FV(C19,"Currency")</f>
        <v>USD</v>
      </c>
      <c r="I19" s="35">
        <f>E19/VLOOKUP(H19,$G$57:$I$65,3,FALSE)</f>
        <v>38.676869430453316</v>
      </c>
      <c r="J19" s="35">
        <v>39.190494590417316</v>
      </c>
      <c r="K19" s="35">
        <v>66.92</v>
      </c>
      <c r="L19" s="36">
        <f>14-1</f>
        <v>13</v>
      </c>
      <c r="M19" s="37">
        <f>K19*L19</f>
        <v>869.96</v>
      </c>
      <c r="N19" s="38">
        <f>E19*L19</f>
        <v>519.09</v>
      </c>
      <c r="O19" s="39">
        <f>L19*I19</f>
        <v>502.7993025958931</v>
      </c>
      <c r="P19" s="35">
        <f>2.64+23.62+2.57+2.72+2.7+2.82+2.75+2.82+2.73</f>
        <v>45.37</v>
      </c>
      <c r="Q19" s="40">
        <f>I19/J19-1</f>
        <v>-1.310586062594854E-2</v>
      </c>
      <c r="R19" s="40">
        <f>(O19+P19)/(L19*K19)-1</f>
        <v>-0.36989137133213812</v>
      </c>
      <c r="S19" s="35">
        <f>O19-(K19*L19)</f>
        <v>-367.16069740410694</v>
      </c>
      <c r="T19" s="200"/>
      <c r="U19" s="200"/>
      <c r="V19" s="41" cm="1">
        <f t="array" ref="V19">_FV(C19,"Market cap",TRUE)</f>
        <v>2568783000</v>
      </c>
      <c r="W19" s="35">
        <f>V19/VLOOKUP(H19,$G$57:$I$64,3,FALSE)/1000000000</f>
        <v>2.4881664083688491</v>
      </c>
      <c r="X19" s="42" cm="1">
        <f t="array" ref="X19">_FV(C19,"P/E",TRUE)</f>
        <v>8.4337999999999997</v>
      </c>
      <c r="Y19" s="40">
        <f>O19/$E$59</f>
        <v>9.366521000545143E-3</v>
      </c>
      <c r="Z19" s="205"/>
      <c r="AA19" s="43">
        <v>2.5000000000000001E-2</v>
      </c>
      <c r="AB19" t="str" cm="1">
        <f t="array" ref="AB19">_FV(C19,"Ticker symbol",TRUE)</f>
        <v>SLG</v>
      </c>
      <c r="AC19" t="str" cm="1">
        <f t="array" ref="AC19">_FV(C19,"Exchange abbreviation",TRUE)</f>
        <v>XNYS</v>
      </c>
    </row>
    <row r="20" spans="2:29" x14ac:dyDescent="0.25">
      <c r="B20" s="208"/>
      <c r="C20" s="30" t="e" vm="16">
        <v>#VALUE!</v>
      </c>
      <c r="D20" s="31">
        <v>44677</v>
      </c>
      <c r="E20" s="82" cm="1">
        <f t="array" ref="E20">_FV(C20,"Previous close",TRUE)</f>
        <v>112.31</v>
      </c>
      <c r="F20" s="82">
        <v>190.34</v>
      </c>
      <c r="G20" s="33">
        <f>E20/F20-1</f>
        <v>-0.409950614689503</v>
      </c>
      <c r="H20" s="34" t="str" cm="1">
        <f t="array" ref="H20">_FV(C20,"Currency")</f>
        <v>USD</v>
      </c>
      <c r="I20" s="35">
        <f>E20/VLOOKUP(H20,$G$57:$I$65,3,FALSE)</f>
        <v>108.78535451375436</v>
      </c>
      <c r="J20" s="35">
        <v>114.31607418856261</v>
      </c>
      <c r="K20" s="35">
        <v>157.62</v>
      </c>
      <c r="L20" s="36">
        <v>7</v>
      </c>
      <c r="M20" s="37">
        <f>K20*L20</f>
        <v>1103.3400000000001</v>
      </c>
      <c r="N20" s="38">
        <f>E20*L20</f>
        <v>786.17000000000007</v>
      </c>
      <c r="O20" s="39">
        <f>L20*I20</f>
        <v>761.49748159628052</v>
      </c>
      <c r="P20" s="35">
        <f>3.67+3.97</f>
        <v>7.6400000000000006</v>
      </c>
      <c r="Q20" s="40">
        <f>I20/J20-1</f>
        <v>-4.8380944797714265E-2</v>
      </c>
      <c r="R20" s="40">
        <f>(O20+P20)/(L20*K20)-1</f>
        <v>-0.30290075443990028</v>
      </c>
      <c r="S20" s="35">
        <f>O20-(K20*L20)</f>
        <v>-341.84251840371962</v>
      </c>
      <c r="T20" s="200"/>
      <c r="U20" s="200"/>
      <c r="V20" s="41" cm="1">
        <f t="array" ref="V20">_FV(C20,"Market cap",TRUE)</f>
        <v>105747600000</v>
      </c>
      <c r="W20" s="35">
        <f>V20/VLOOKUP(H20,$G$57:$I$64,3,FALSE)/1000000000</f>
        <v>102.42890352576521</v>
      </c>
      <c r="X20" s="42" cm="1">
        <f t="array" ref="X20">_FV(C20,"P/E",TRUE)</f>
        <v>20.803000000000001</v>
      </c>
      <c r="Y20" s="40">
        <f>O20/$E$59</f>
        <v>1.418574392686928E-2</v>
      </c>
      <c r="Z20" s="205"/>
      <c r="AA20" s="46" t="s">
        <v>37</v>
      </c>
      <c r="AB20" t="str" cm="1">
        <f t="array" ref="AB20">_FV(C20,"Ticker symbol",TRUE)</f>
        <v>PLD</v>
      </c>
      <c r="AC20" t="str" cm="1">
        <f t="array" ref="AC20">_FV(C20,"Exchange abbreviation",TRUE)</f>
        <v>XNYS</v>
      </c>
    </row>
    <row r="21" spans="2:29" ht="16.5" thickBot="1" x14ac:dyDescent="0.3">
      <c r="B21" s="209"/>
      <c r="C21" s="47" t="e" vm="17">
        <v>#VALUE!</v>
      </c>
      <c r="D21" s="48">
        <v>44608</v>
      </c>
      <c r="E21" s="90" cm="1">
        <f t="array" ref="E21">_FV(C21,"Previous close",TRUE)</f>
        <v>216.34</v>
      </c>
      <c r="F21" s="90">
        <v>288.39</v>
      </c>
      <c r="G21" s="51">
        <f>E21/F21-1</f>
        <v>-0.24983529248586978</v>
      </c>
      <c r="H21" s="52" t="str" cm="1">
        <f t="array" ref="H21">_FV(C21,"Currency")</f>
        <v>USD</v>
      </c>
      <c r="I21" s="53">
        <f>E21/VLOOKUP(H21,$G$57:$I$65,3,FALSE)</f>
        <v>209.55056179775281</v>
      </c>
      <c r="J21" s="53">
        <v>213.38871715610512</v>
      </c>
      <c r="K21" s="53">
        <v>202.64</v>
      </c>
      <c r="L21" s="54">
        <v>4</v>
      </c>
      <c r="M21" s="55">
        <f>K21*L21</f>
        <v>810.56</v>
      </c>
      <c r="N21" s="91">
        <f>E21*L21</f>
        <v>865.36</v>
      </c>
      <c r="O21" s="57">
        <f>L21*I21</f>
        <v>838.20224719101122</v>
      </c>
      <c r="P21" s="53">
        <f>3.72+3.92+4.16</f>
        <v>11.8</v>
      </c>
      <c r="Q21" s="58">
        <f>I21/J21-1</f>
        <v>-1.7986683689299787E-2</v>
      </c>
      <c r="R21" s="58">
        <f>(O21+P21)/(L21*K21)-1</f>
        <v>4.8660490513979582E-2</v>
      </c>
      <c r="S21" s="53">
        <f>O21-(K21*L21)</f>
        <v>27.642247191011279</v>
      </c>
      <c r="T21" s="201"/>
      <c r="U21" s="201"/>
      <c r="V21" s="61" cm="1">
        <f t="array" ref="V21">_FV(C21,"Market cap",TRUE)</f>
        <v>100538200000</v>
      </c>
      <c r="W21" s="53">
        <f>V21/VLOOKUP(H21,$G$57:$I$64,3,FALSE)/1000000000</f>
        <v>97.382991088725291</v>
      </c>
      <c r="X21" s="62" cm="1">
        <f t="array" ref="X21">_FV(C21,"P/E",TRUE)</f>
        <v>34.337200000000003</v>
      </c>
      <c r="Y21" s="58">
        <f>O21/$E$59</f>
        <v>1.5614657598936108E-2</v>
      </c>
      <c r="Z21" s="206"/>
      <c r="AA21" s="63" t="s">
        <v>37</v>
      </c>
      <c r="AB21" t="str" cm="1">
        <f t="array" ref="AB21">_FV(C21,"Ticker symbol",TRUE)</f>
        <v>AMT</v>
      </c>
      <c r="AC21" t="str" cm="1">
        <f t="array" ref="AC21">_FV(C21,"Exchange abbreviation",TRUE)</f>
        <v>XNYS</v>
      </c>
    </row>
    <row r="22" spans="2:29" ht="16.5" thickBot="1" x14ac:dyDescent="0.3">
      <c r="B22" s="64"/>
      <c r="C22" s="65"/>
      <c r="D22" s="66"/>
      <c r="E22" s="88"/>
      <c r="F22" s="88"/>
      <c r="G22" s="68"/>
      <c r="H22" s="65"/>
      <c r="I22" s="69"/>
      <c r="J22" s="69"/>
      <c r="K22" s="69"/>
      <c r="L22" s="70"/>
      <c r="M22" s="71"/>
      <c r="N22" s="88"/>
      <c r="O22" s="69"/>
      <c r="P22" s="69"/>
      <c r="Q22" s="72"/>
      <c r="R22" s="72"/>
      <c r="S22" s="69"/>
      <c r="T22" s="73"/>
      <c r="U22" s="73"/>
      <c r="V22" s="74"/>
      <c r="W22" s="69"/>
      <c r="X22" s="75"/>
      <c r="Y22" s="72"/>
      <c r="Z22" s="76"/>
      <c r="AA22" s="77"/>
      <c r="AB22" t="e" cm="1" vm="6">
        <f t="array" ref="AB22">_FV(C22,"Ticker symbol",TRUE)</f>
        <v>#VALUE!</v>
      </c>
      <c r="AC22" t="e" cm="1" vm="7">
        <f t="array" ref="AC22">_FV(C22,"Exchange abbreviation",TRUE)</f>
        <v>#VALUE!</v>
      </c>
    </row>
    <row r="23" spans="2:29" x14ac:dyDescent="0.25">
      <c r="B23" s="207" t="s">
        <v>38</v>
      </c>
      <c r="C23" s="17" t="e" vm="18">
        <v>#VALUE!</v>
      </c>
      <c r="D23" s="18">
        <v>44120</v>
      </c>
      <c r="E23" s="78" cm="1">
        <f t="array" ref="E23">_FV(C23,"Previous close",TRUE)</f>
        <v>79.94</v>
      </c>
      <c r="F23" s="78">
        <v>130</v>
      </c>
      <c r="G23" s="20">
        <f>E23/F23-1</f>
        <v>-0.38507692307692309</v>
      </c>
      <c r="H23" s="21" t="str" cm="1">
        <f t="array" ref="H23">_FV(C23,"Currency")</f>
        <v>USD</v>
      </c>
      <c r="I23" s="22">
        <f t="shared" ref="I23:I31" si="10">E23/VLOOKUP(H23,$G$57:$I$65,3,FALSE)</f>
        <v>77.431228206121659</v>
      </c>
      <c r="J23" s="22">
        <v>79.057187017001553</v>
      </c>
      <c r="K23" s="22">
        <v>93.86</v>
      </c>
      <c r="L23" s="23">
        <v>5</v>
      </c>
      <c r="M23" s="24">
        <f t="shared" ref="M23:M39" si="11">K23*L23</f>
        <v>469.3</v>
      </c>
      <c r="N23" s="79">
        <f t="shared" ref="N23:N31" si="12">E23*L23</f>
        <v>399.7</v>
      </c>
      <c r="O23" s="25">
        <f t="shared" ref="O23:O31" si="13">L23*I23</f>
        <v>387.1561410306083</v>
      </c>
      <c r="P23" s="22">
        <f>1.79+1.8+1.99+2.03+2.06+2.17+2.53+2.62</f>
        <v>16.989999999999998</v>
      </c>
      <c r="Q23" s="26">
        <f t="shared" ref="Q23:Q31" si="14">I23/J23-1</f>
        <v>-2.0566869025206103E-2</v>
      </c>
      <c r="R23" s="26">
        <f t="shared" ref="R23:R31" si="15">(O23+P23)/(L23*K23)-1</f>
        <v>-0.13883200291794529</v>
      </c>
      <c r="S23" s="22">
        <f t="shared" ref="S23:S31" si="16">O23-(K23*L23)</f>
        <v>-82.143858969391715</v>
      </c>
      <c r="T23" s="199">
        <f>SUMPRODUCT(Q23:Q31,Y23:Y31)</f>
        <v>-1.2415230280540131E-3</v>
      </c>
      <c r="U23" s="199">
        <f>SUMPRODUCT(R23:R31,Y23:Y31)</f>
        <v>4.3970828368586998E-2</v>
      </c>
      <c r="V23" s="80" cm="1">
        <f t="array" ref="V23">_FV(C23,"Market cap",TRUE)</f>
        <v>108060200000</v>
      </c>
      <c r="W23" s="22">
        <f t="shared" ref="W23:W31" si="17">V23/VLOOKUP(H23,$G$57:$I$64,3,FALSE)/1000000000</f>
        <v>104.66892677256877</v>
      </c>
      <c r="X23" s="28" cm="1">
        <f t="array" ref="X23">_FV(C23,"P/E",TRUE)</f>
        <v>20.671500000000002</v>
      </c>
      <c r="Y23" s="26">
        <f t="shared" ref="Y23:Y31" si="18">O23/$E$59</f>
        <v>7.2122338013020735E-3</v>
      </c>
      <c r="Z23" s="204">
        <f>SUM($Y$23:$Y$31)</f>
        <v>0.16780199330638151</v>
      </c>
      <c r="AA23" s="29">
        <v>2.5000000000000001E-2</v>
      </c>
      <c r="AB23" t="str" cm="1">
        <f t="array" ref="AB23">_FV(C23,"Ticker symbol",TRUE)</f>
        <v>MDT</v>
      </c>
      <c r="AC23" t="str" cm="1">
        <f t="array" ref="AC23">_FV(C23,"Exchange abbreviation",TRUE)</f>
        <v>XNYS</v>
      </c>
    </row>
    <row r="24" spans="2:29" x14ac:dyDescent="0.25">
      <c r="B24" s="208"/>
      <c r="C24" s="30" t="e" vm="19">
        <v>#VALUE!</v>
      </c>
      <c r="D24" s="31">
        <v>44165</v>
      </c>
      <c r="E24" s="92" cm="1">
        <f t="array" ref="E24">_FV(C24,"Previous close",TRUE)</f>
        <v>515.30999999999995</v>
      </c>
      <c r="F24" s="92">
        <v>392</v>
      </c>
      <c r="G24" s="33">
        <f>E24/F24-1</f>
        <v>0.31456632653061201</v>
      </c>
      <c r="H24" s="34" t="str" cm="1">
        <f t="array" ref="H24">_FV(C24,"Currency")</f>
        <v>USD</v>
      </c>
      <c r="I24" s="35">
        <f t="shared" si="10"/>
        <v>499.13793103448273</v>
      </c>
      <c r="J24" s="35">
        <v>525.66653786707889</v>
      </c>
      <c r="K24" s="35">
        <v>282.33</v>
      </c>
      <c r="L24" s="36">
        <f>2-1</f>
        <v>1</v>
      </c>
      <c r="M24" s="37">
        <f t="shared" si="11"/>
        <v>282.33</v>
      </c>
      <c r="N24" s="93">
        <f t="shared" si="12"/>
        <v>515.30999999999995</v>
      </c>
      <c r="O24" s="39">
        <f t="shared" si="13"/>
        <v>499.13793103448273</v>
      </c>
      <c r="P24" s="35">
        <f>1.46+1.7+1.73+1.8+1.83+2.19+2.31</f>
        <v>13.02</v>
      </c>
      <c r="Q24" s="40">
        <f t="shared" si="14"/>
        <v>-5.0466607481308268E-2</v>
      </c>
      <c r="R24" s="40">
        <f t="shared" si="15"/>
        <v>0.81404006316892574</v>
      </c>
      <c r="S24" s="35">
        <f t="shared" si="16"/>
        <v>216.80793103448275</v>
      </c>
      <c r="T24" s="200"/>
      <c r="U24" s="200"/>
      <c r="V24" s="41" cm="1">
        <f t="array" ref="V24">_FV(C24,"Market cap",TRUE)</f>
        <v>495205000000</v>
      </c>
      <c r="W24" s="35">
        <f t="shared" si="17"/>
        <v>479.66388996512984</v>
      </c>
      <c r="X24" s="42" cm="1">
        <f t="array" ref="X24">_FV(C24,"P/E",TRUE)</f>
        <v>25.241399999999999</v>
      </c>
      <c r="Y24" s="40">
        <f t="shared" si="18"/>
        <v>9.2983142360494649E-3</v>
      </c>
      <c r="Z24" s="205"/>
      <c r="AA24" s="43">
        <v>2.5000000000000001E-2</v>
      </c>
      <c r="AB24" t="str" cm="1">
        <f t="array" ref="AB24">_FV(C24,"Ticker symbol",TRUE)</f>
        <v>UNH</v>
      </c>
      <c r="AC24" t="str" cm="1">
        <f t="array" ref="AC24">_FV(C24,"Exchange abbreviation",TRUE)</f>
        <v>XNYS</v>
      </c>
    </row>
    <row r="25" spans="2:29" x14ac:dyDescent="0.25">
      <c r="B25" s="208"/>
      <c r="C25" s="30" t="e" vm="20">
        <v>#VALUE!</v>
      </c>
      <c r="D25" s="31">
        <v>44260</v>
      </c>
      <c r="E25" s="92" cm="1">
        <f t="array" ref="E25">_FV(C25,"Previous close",TRUE)</f>
        <v>232.97</v>
      </c>
      <c r="F25" s="92">
        <v>313</v>
      </c>
      <c r="G25" s="33">
        <f>E25/F25-1</f>
        <v>-0.25568690095846647</v>
      </c>
      <c r="H25" s="34" t="str" cm="1">
        <f t="array" ref="H25">_FV(C25,"Currency")</f>
        <v>USD</v>
      </c>
      <c r="I25" s="35">
        <f t="shared" si="10"/>
        <v>225.65865943432777</v>
      </c>
      <c r="J25" s="35">
        <v>234.80486862442041</v>
      </c>
      <c r="K25" s="35">
        <v>198.6</v>
      </c>
      <c r="L25" s="36">
        <v>8</v>
      </c>
      <c r="M25" s="37">
        <f t="shared" si="11"/>
        <v>1588.8</v>
      </c>
      <c r="N25" s="93">
        <f t="shared" si="12"/>
        <v>1863.76</v>
      </c>
      <c r="O25" s="39">
        <f t="shared" si="13"/>
        <v>1805.2692754746222</v>
      </c>
      <c r="P25" s="35">
        <f>3.74+4.01</f>
        <v>7.75</v>
      </c>
      <c r="Q25" s="40">
        <f t="shared" si="14"/>
        <v>-3.8952383073122543E-2</v>
      </c>
      <c r="R25" s="40">
        <f t="shared" si="15"/>
        <v>0.14112492162299994</v>
      </c>
      <c r="S25" s="35">
        <f t="shared" si="16"/>
        <v>216.46927547462224</v>
      </c>
      <c r="T25" s="200"/>
      <c r="U25" s="200"/>
      <c r="V25" s="41" cm="1">
        <f t="array" ref="V25">_FV(C25,"Market cap",TRUE)</f>
        <v>20393950000</v>
      </c>
      <c r="W25" s="35">
        <f t="shared" si="17"/>
        <v>19.753922898101514</v>
      </c>
      <c r="X25" s="42" cm="1">
        <f t="array" ref="X25">_FV(C25,"P/E",TRUE)</f>
        <v>12.4381</v>
      </c>
      <c r="Y25" s="40">
        <f t="shared" si="18"/>
        <v>3.362990460223856E-2</v>
      </c>
      <c r="Z25" s="205"/>
      <c r="AA25" s="43">
        <v>2.5000000000000001E-2</v>
      </c>
      <c r="AB25" t="str" cm="1">
        <f t="array" ref="AB25">_FV(C25,"Ticker symbol",TRUE)</f>
        <v>LH</v>
      </c>
      <c r="AC25" t="str" cm="1">
        <f t="array" ref="AC25">_FV(C25,"Exchange abbreviation",TRUE)</f>
        <v>XNYS</v>
      </c>
    </row>
    <row r="26" spans="2:29" x14ac:dyDescent="0.25">
      <c r="B26" s="208"/>
      <c r="C26" s="30" t="e" vm="21">
        <v>#VALUE!</v>
      </c>
      <c r="D26" s="31">
        <v>44326</v>
      </c>
      <c r="E26" s="92" cm="1">
        <f t="array" ref="E26">_FV(C26,"Previous close",TRUE)</f>
        <v>529.89</v>
      </c>
      <c r="F26" s="82">
        <v>553</v>
      </c>
      <c r="G26" s="33">
        <f>E26/F26-1</f>
        <v>-4.1790235081374361E-2</v>
      </c>
      <c r="H26" s="34" t="str" cm="1">
        <f t="array" ref="H26">_FV(C26,"Currency")</f>
        <v>USD</v>
      </c>
      <c r="I26" s="35">
        <f t="shared" si="10"/>
        <v>513.26036419992249</v>
      </c>
      <c r="J26" s="35">
        <v>502.87867078825354</v>
      </c>
      <c r="K26" s="35">
        <v>383.11250000000001</v>
      </c>
      <c r="L26" s="36">
        <f>4-1</f>
        <v>3</v>
      </c>
      <c r="M26" s="37">
        <f t="shared" si="11"/>
        <v>1149.3375000000001</v>
      </c>
      <c r="N26" s="38">
        <f t="shared" si="12"/>
        <v>1589.67</v>
      </c>
      <c r="O26" s="39">
        <f t="shared" si="13"/>
        <v>1539.7810925997674</v>
      </c>
      <c r="P26" s="35">
        <f>0.62+0.62+0.48+0.58+0.63+0.64</f>
        <v>3.57</v>
      </c>
      <c r="Q26" s="40">
        <f t="shared" si="14"/>
        <v>2.0644529216949703E-2</v>
      </c>
      <c r="R26" s="40">
        <f t="shared" si="15"/>
        <v>0.34281800828718034</v>
      </c>
      <c r="S26" s="35">
        <f t="shared" si="16"/>
        <v>390.44359259976727</v>
      </c>
      <c r="T26" s="200"/>
      <c r="U26" s="200"/>
      <c r="V26" s="41" cm="1">
        <f t="array" ref="V26">_FV(C26,"Market cap",TRUE)</f>
        <v>209918800000</v>
      </c>
      <c r="W26" s="35">
        <f t="shared" si="17"/>
        <v>203.33087950406821</v>
      </c>
      <c r="X26" s="42" cm="1">
        <f t="array" ref="X26">_FV(C26,"P/E",TRUE)</f>
        <v>29.782399999999999</v>
      </c>
      <c r="Y26" s="40">
        <f t="shared" si="18"/>
        <v>2.8684192411598364E-2</v>
      </c>
      <c r="Z26" s="205"/>
      <c r="AA26" s="43">
        <v>0.1051</v>
      </c>
      <c r="AB26" t="str" cm="1">
        <f t="array" ref="AB26">_FV(C26,"Ticker symbol",TRUE)</f>
        <v>TMO</v>
      </c>
      <c r="AC26" t="str" cm="1">
        <f t="array" ref="AC26">_FV(C26,"Exchange abbreviation",TRUE)</f>
        <v>XNYS</v>
      </c>
    </row>
    <row r="27" spans="2:29" x14ac:dyDescent="0.25">
      <c r="B27" s="208"/>
      <c r="C27" s="30" t="e" vm="22">
        <v>#VALUE!</v>
      </c>
      <c r="D27" s="31">
        <v>44329</v>
      </c>
      <c r="E27" s="92" cm="1">
        <f t="array" ref="E27">_FV(C27,"Previous close",TRUE)</f>
        <v>309.89999999999998</v>
      </c>
      <c r="F27" s="82"/>
      <c r="G27" s="33"/>
      <c r="H27" s="34" t="str" cm="1">
        <f t="array" ref="H27">_FV(C27,"Currency")</f>
        <v>USD</v>
      </c>
      <c r="I27" s="35">
        <f t="shared" si="10"/>
        <v>300.1743510267338</v>
      </c>
      <c r="J27" s="35">
        <v>300.45401854714066</v>
      </c>
      <c r="K27" s="35">
        <v>176.4966</v>
      </c>
      <c r="L27" s="36">
        <v>3</v>
      </c>
      <c r="M27" s="37">
        <f t="shared" si="11"/>
        <v>529.48980000000006</v>
      </c>
      <c r="N27" s="38">
        <f t="shared" si="12"/>
        <v>929.69999999999993</v>
      </c>
      <c r="O27" s="39">
        <f t="shared" si="13"/>
        <v>900.52305308020141</v>
      </c>
      <c r="P27" s="35"/>
      <c r="Q27" s="40">
        <f t="shared" si="14"/>
        <v>-9.3081637502867576E-4</v>
      </c>
      <c r="R27" s="40">
        <f t="shared" si="15"/>
        <v>0.70073730047340166</v>
      </c>
      <c r="S27" s="35">
        <f t="shared" si="16"/>
        <v>371.03325308020135</v>
      </c>
      <c r="T27" s="200"/>
      <c r="U27" s="200"/>
      <c r="V27" s="41" cm="1">
        <f t="array" ref="V27">_FV(C27,"Market cap",TRUE)</f>
        <v>80762830000</v>
      </c>
      <c r="W27" s="35">
        <f t="shared" si="17"/>
        <v>78.228235180162741</v>
      </c>
      <c r="X27" s="42" cm="1">
        <f t="array" ref="X27">_FV(C27,"P/E",TRUE)</f>
        <v>24.458100000000002</v>
      </c>
      <c r="Y27" s="40">
        <f t="shared" si="18"/>
        <v>1.677561612476992E-2</v>
      </c>
      <c r="Z27" s="205"/>
      <c r="AA27" s="43">
        <v>2.5000000000000001E-2</v>
      </c>
      <c r="AB27" t="str" cm="1">
        <f t="array" ref="AB27">_FV(C27,"Ticker symbol",TRUE)</f>
        <v>VRTX</v>
      </c>
      <c r="AC27" t="str" cm="1">
        <f t="array" ref="AC27">_FV(C27,"Exchange abbreviation",TRUE)</f>
        <v>XNAS</v>
      </c>
    </row>
    <row r="28" spans="2:29" x14ac:dyDescent="0.25">
      <c r="B28" s="208"/>
      <c r="C28" s="30" t="e" vm="23">
        <v>#VALUE!</v>
      </c>
      <c r="D28" s="31">
        <v>44494</v>
      </c>
      <c r="E28" s="92" cm="1">
        <f t="array" ref="E28">_FV(C28,"Previous close",TRUE)</f>
        <v>739.08</v>
      </c>
      <c r="F28" s="82">
        <v>807</v>
      </c>
      <c r="G28" s="33">
        <f>E28/F28-1</f>
        <v>-8.4163568773234165E-2</v>
      </c>
      <c r="H28" s="34" t="str" cm="1">
        <f t="array" ref="H28">_FV(C28,"Currency")</f>
        <v>USD</v>
      </c>
      <c r="I28" s="35">
        <f t="shared" si="10"/>
        <v>715.88531576908179</v>
      </c>
      <c r="J28" s="35">
        <v>715.88098918083472</v>
      </c>
      <c r="K28" s="35">
        <v>496.45</v>
      </c>
      <c r="L28" s="36">
        <v>2</v>
      </c>
      <c r="M28" s="37">
        <f t="shared" si="11"/>
        <v>992.9</v>
      </c>
      <c r="N28" s="38">
        <f t="shared" si="12"/>
        <v>1478.16</v>
      </c>
      <c r="O28" s="39">
        <f t="shared" si="13"/>
        <v>1431.7706315381636</v>
      </c>
      <c r="P28" s="35"/>
      <c r="Q28" s="40">
        <f t="shared" si="14"/>
        <v>6.0437255806622403E-6</v>
      </c>
      <c r="R28" s="40">
        <f t="shared" si="15"/>
        <v>0.44200889469046589</v>
      </c>
      <c r="S28" s="35">
        <f t="shared" si="16"/>
        <v>438.87063153816359</v>
      </c>
      <c r="T28" s="200"/>
      <c r="U28" s="200"/>
      <c r="V28" s="41" cm="1">
        <f t="array" ref="V28">_FV(C28,"Market cap",TRUE)</f>
        <v>80231320000</v>
      </c>
      <c r="W28" s="35">
        <f t="shared" si="17"/>
        <v>77.713405656722202</v>
      </c>
      <c r="X28" s="42" cm="1">
        <f t="array" ref="X28">_FV(C28,"P/E",TRUE)</f>
        <v>15.5909</v>
      </c>
      <c r="Y28" s="40">
        <f t="shared" si="18"/>
        <v>2.6672092858975916E-2</v>
      </c>
      <c r="Z28" s="205"/>
      <c r="AA28" s="43">
        <v>2.5000000000000001E-2</v>
      </c>
      <c r="AB28" t="str" cm="1">
        <f t="array" ref="AB28">_FV(C28,"Ticker symbol",TRUE)</f>
        <v>REGN</v>
      </c>
      <c r="AC28" t="str" cm="1">
        <f t="array" ref="AC28">_FV(C28,"Exchange abbreviation",TRUE)</f>
        <v>XNAS</v>
      </c>
    </row>
    <row r="29" spans="2:29" x14ac:dyDescent="0.25">
      <c r="B29" s="208"/>
      <c r="C29" s="30" t="e" vm="24">
        <v>#VALUE!</v>
      </c>
      <c r="D29" s="31">
        <v>44628</v>
      </c>
      <c r="E29" s="92" cm="1">
        <f t="array" ref="E29">_FV(C29,"Previous close",TRUE)</f>
        <v>410.44</v>
      </c>
      <c r="F29" s="82">
        <v>619.51</v>
      </c>
      <c r="G29" s="33">
        <f>E29/F29-1</f>
        <v>-0.33747639263288731</v>
      </c>
      <c r="H29" s="34" t="str" cm="1">
        <f t="array" ref="H29">_FV(C29,"Currency")</f>
        <v>USD</v>
      </c>
      <c r="I29" s="35">
        <f t="shared" si="10"/>
        <v>397.55908562572648</v>
      </c>
      <c r="J29" s="35">
        <v>401.91267387944362</v>
      </c>
      <c r="K29" s="35">
        <v>477.32</v>
      </c>
      <c r="L29" s="36">
        <v>1</v>
      </c>
      <c r="M29" s="84">
        <f t="shared" si="11"/>
        <v>477.32</v>
      </c>
      <c r="N29" s="85">
        <f t="shared" si="12"/>
        <v>410.44</v>
      </c>
      <c r="O29" s="39">
        <f t="shared" si="13"/>
        <v>397.55908562572648</v>
      </c>
      <c r="P29" s="35"/>
      <c r="Q29" s="40">
        <f t="shared" si="14"/>
        <v>-1.0832174590799326E-2</v>
      </c>
      <c r="R29" s="40">
        <f t="shared" si="15"/>
        <v>-0.16710155529681037</v>
      </c>
      <c r="S29" s="35">
        <f t="shared" si="16"/>
        <v>-79.760914374273511</v>
      </c>
      <c r="T29" s="200"/>
      <c r="U29" s="200"/>
      <c r="V29" s="41" cm="1">
        <f t="array" ref="V29">_FV(C29,"Market cap",TRUE)</f>
        <v>34277110000</v>
      </c>
      <c r="W29" s="35">
        <f t="shared" si="17"/>
        <v>33.201385122045721</v>
      </c>
      <c r="X29" s="42" cm="1">
        <f t="array" ref="X29">_FV(C29,"P/E",TRUE)</f>
        <v>52.201099999999997</v>
      </c>
      <c r="Y29" s="40">
        <f t="shared" si="18"/>
        <v>7.4060276242342337E-3</v>
      </c>
      <c r="Z29" s="205"/>
      <c r="AA29" s="46">
        <v>2.5000000000000001E-2</v>
      </c>
      <c r="AB29" t="str" cm="1">
        <f t="array" ref="AB29">_FV(C29,"Ticker symbol",TRUE)</f>
        <v>IDXX</v>
      </c>
      <c r="AC29" t="str" cm="1">
        <f t="array" ref="AC29">_FV(C29,"Exchange abbreviation",TRUE)</f>
        <v>XNAS</v>
      </c>
    </row>
    <row r="30" spans="2:29" x14ac:dyDescent="0.25">
      <c r="B30" s="208"/>
      <c r="C30" s="30" t="e" vm="25">
        <v>#VALUE!</v>
      </c>
      <c r="D30" s="31">
        <v>44687</v>
      </c>
      <c r="E30" s="92" cm="1">
        <f t="array" ref="E30">_FV(C30,"Previous close",TRUE)</f>
        <v>29.96</v>
      </c>
      <c r="F30" s="82">
        <v>54.53</v>
      </c>
      <c r="G30" s="33">
        <f>E30/F30-1</f>
        <v>-0.45057766367137353</v>
      </c>
      <c r="H30" s="34" t="str" cm="1">
        <f t="array" ref="H30">_FV(C30,"Currency")</f>
        <v>USD</v>
      </c>
      <c r="I30" s="35">
        <f t="shared" si="10"/>
        <v>29.019759783029833</v>
      </c>
      <c r="J30" s="35">
        <v>29.926584234930452</v>
      </c>
      <c r="K30" s="35">
        <v>31.89</v>
      </c>
      <c r="L30" s="36">
        <v>25</v>
      </c>
      <c r="M30" s="84">
        <f t="shared" si="11"/>
        <v>797.25</v>
      </c>
      <c r="N30" s="85">
        <f t="shared" si="12"/>
        <v>749</v>
      </c>
      <c r="O30" s="39">
        <f t="shared" si="13"/>
        <v>725.49399457574589</v>
      </c>
      <c r="P30" s="35"/>
      <c r="Q30" s="40">
        <f t="shared" si="14"/>
        <v>-3.0301635655504255E-2</v>
      </c>
      <c r="R30" s="40">
        <f t="shared" si="15"/>
        <v>-9.0004396894643013E-2</v>
      </c>
      <c r="S30" s="35">
        <f t="shared" si="16"/>
        <v>-71.756005424254113</v>
      </c>
      <c r="T30" s="200"/>
      <c r="U30" s="200"/>
      <c r="V30" s="41" cm="1">
        <f t="array" ref="V30">_FV(C30,"Market cap",TRUE)</f>
        <v>4661881000</v>
      </c>
      <c r="W30" s="35">
        <f t="shared" si="17"/>
        <v>4.5155763270050375</v>
      </c>
      <c r="X30" s="42" cm="1">
        <f t="array" ref="X30">_FV(C30,"P/E",TRUE)</f>
        <v>0</v>
      </c>
      <c r="Y30" s="40">
        <f t="shared" si="18"/>
        <v>1.3515044075995131E-2</v>
      </c>
      <c r="Z30" s="205"/>
      <c r="AA30" s="46" t="s">
        <v>37</v>
      </c>
      <c r="AB30" t="str" cm="1">
        <f t="array" ref="AB30">_FV(C30,"Ticker symbol",TRUE)</f>
        <v>TDOC</v>
      </c>
      <c r="AC30" t="str" cm="1">
        <f t="array" ref="AC30">_FV(C30,"Exchange abbreviation",TRUE)</f>
        <v>XNYS</v>
      </c>
    </row>
    <row r="31" spans="2:29" ht="16.5" thickBot="1" x14ac:dyDescent="0.3">
      <c r="B31" s="209"/>
      <c r="C31" s="47" t="e" vm="26">
        <v>#VALUE!</v>
      </c>
      <c r="D31" s="48">
        <v>44529</v>
      </c>
      <c r="E31" s="94" cm="1">
        <f t="array" ref="E31">_FV(C31,"Previous close",TRUE)</f>
        <v>227.3</v>
      </c>
      <c r="F31" s="90">
        <v>297.44</v>
      </c>
      <c r="G31" s="51">
        <f>E31/F31-1</f>
        <v>-0.23581226465841842</v>
      </c>
      <c r="H31" s="52" t="str" cm="1">
        <f t="array" ref="H31">_FV(C31,"Currency")</f>
        <v>USD</v>
      </c>
      <c r="I31" s="53">
        <f t="shared" si="10"/>
        <v>220.16660209221234</v>
      </c>
      <c r="J31" s="53">
        <v>214.93431221020094</v>
      </c>
      <c r="K31" s="53">
        <v>207.01</v>
      </c>
      <c r="L31" s="54">
        <v>6</v>
      </c>
      <c r="M31" s="55">
        <f t="shared" si="11"/>
        <v>1242.06</v>
      </c>
      <c r="N31" s="91">
        <f t="shared" si="12"/>
        <v>1363.8000000000002</v>
      </c>
      <c r="O31" s="57">
        <f t="shared" si="13"/>
        <v>1320.9996125532741</v>
      </c>
      <c r="P31" s="53">
        <f>1.78+2.11+2.22+2.41</f>
        <v>8.52</v>
      </c>
      <c r="Q31" s="58">
        <f t="shared" si="14"/>
        <v>2.4343669599362627E-2</v>
      </c>
      <c r="R31" s="58">
        <f t="shared" si="15"/>
        <v>7.0414965906054672E-2</v>
      </c>
      <c r="S31" s="53">
        <f t="shared" si="16"/>
        <v>78.939612553274173</v>
      </c>
      <c r="T31" s="201"/>
      <c r="U31" s="201"/>
      <c r="V31" s="61" cm="1">
        <f t="array" ref="V31">_FV(C31,"Market cap",TRUE)</f>
        <v>65047460000</v>
      </c>
      <c r="W31" s="53">
        <f t="shared" si="17"/>
        <v>63.006063541263075</v>
      </c>
      <c r="X31" s="62" cm="1">
        <f t="array" ref="X31">_FV(C31,"P/E",TRUE)</f>
        <v>12.8353</v>
      </c>
      <c r="Y31" s="58">
        <f t="shared" si="18"/>
        <v>2.4608567571217838E-2</v>
      </c>
      <c r="Z31" s="206"/>
      <c r="AA31" s="63">
        <v>2.5000000000000001E-2</v>
      </c>
      <c r="AB31" t="str" cm="1">
        <f t="array" ref="AB31">_FV(C31,"Ticker symbol",TRUE)</f>
        <v>HCA</v>
      </c>
      <c r="AC31" t="str" cm="1">
        <f t="array" ref="AC31">_FV(C31,"Exchange abbreviation",TRUE)</f>
        <v>XNYS</v>
      </c>
    </row>
    <row r="32" spans="2:29" ht="16.5" thickBot="1" x14ac:dyDescent="0.3">
      <c r="B32" s="64"/>
      <c r="C32" s="65"/>
      <c r="D32" s="66"/>
      <c r="E32" s="88"/>
      <c r="F32" s="88"/>
      <c r="G32" s="68"/>
      <c r="H32" s="65"/>
      <c r="I32" s="69"/>
      <c r="J32" s="69"/>
      <c r="K32" s="69"/>
      <c r="L32" s="70"/>
      <c r="M32" s="71">
        <f t="shared" si="11"/>
        <v>0</v>
      </c>
      <c r="N32" s="88"/>
      <c r="O32" s="69"/>
      <c r="P32" s="69"/>
      <c r="Q32" s="72"/>
      <c r="R32" s="72"/>
      <c r="S32" s="69"/>
      <c r="T32" s="73"/>
      <c r="U32" s="73"/>
      <c r="V32" s="74"/>
      <c r="W32" s="69"/>
      <c r="X32" s="75"/>
      <c r="Y32" s="72"/>
      <c r="Z32" s="76"/>
      <c r="AA32" s="77"/>
      <c r="AB32" t="e" cm="1" vm="6">
        <f t="array" ref="AB32">_FV(C32,"Ticker symbol",TRUE)</f>
        <v>#VALUE!</v>
      </c>
      <c r="AC32" t="e" cm="1" vm="7">
        <f t="array" ref="AC32">_FV(C32,"Exchange abbreviation",TRUE)</f>
        <v>#VALUE!</v>
      </c>
    </row>
    <row r="33" spans="2:29" x14ac:dyDescent="0.25">
      <c r="B33" s="207" t="s">
        <v>39</v>
      </c>
      <c r="C33" s="17" t="e" vm="27">
        <v>#VALUE!</v>
      </c>
      <c r="D33" s="18">
        <v>44120</v>
      </c>
      <c r="E33" s="95" cm="1">
        <f t="array" ref="E33">_FV(C33,"Previous close",TRUE)</f>
        <v>38.39</v>
      </c>
      <c r="F33" s="95">
        <v>59.1</v>
      </c>
      <c r="G33" s="20">
        <f>E33/F33-1</f>
        <v>-0.35042301184433167</v>
      </c>
      <c r="H33" s="21" t="str" cm="1">
        <f t="array" ref="H33">_FV(C33,"Currency")</f>
        <v>EUR</v>
      </c>
      <c r="I33" s="22">
        <f t="shared" ref="I33:I39" si="19">E33/VLOOKUP(H33,$G$57:$I$65,3,FALSE)</f>
        <v>38.39</v>
      </c>
      <c r="J33" s="22">
        <v>39.534999999999997</v>
      </c>
      <c r="K33" s="22">
        <v>41.45</v>
      </c>
      <c r="L33" s="23">
        <v>9</v>
      </c>
      <c r="M33" s="24">
        <f t="shared" si="11"/>
        <v>373.05</v>
      </c>
      <c r="N33" s="96">
        <f t="shared" ref="N33:N39" si="20">E33*L33</f>
        <v>345.51</v>
      </c>
      <c r="O33" s="25">
        <f t="shared" ref="O33:O39" si="21">L33*I33</f>
        <v>345.51</v>
      </c>
      <c r="P33" s="22">
        <f>8.95+11.93</f>
        <v>20.88</v>
      </c>
      <c r="Q33" s="26">
        <f t="shared" ref="Q33:Q39" si="22">I33/J33-1</f>
        <v>-2.8961679524471928E-2</v>
      </c>
      <c r="R33" s="26">
        <f t="shared" ref="R33:R39" si="23">(O33+P33)/(L33*K33)-1</f>
        <v>-1.7852834740651469E-2</v>
      </c>
      <c r="S33" s="22">
        <f t="shared" ref="S33:S39" si="24">O33-(K33*L33)</f>
        <v>-27.54000000000002</v>
      </c>
      <c r="T33" s="199">
        <f>SUMPRODUCT(Q33:Q39,Y33:Y39)</f>
        <v>1.3483275065771642E-3</v>
      </c>
      <c r="U33" s="199">
        <f>SUMPRODUCT(R33:R39,Y33:Y39)</f>
        <v>5.2851137317406994E-3</v>
      </c>
      <c r="V33" s="27" cm="1">
        <f t="array" ref="V33">_FV(C33,"Market cap",TRUE)</f>
        <v>47933010000</v>
      </c>
      <c r="W33" s="22">
        <f t="shared" ref="W33:W39" si="25">V33/VLOOKUP(H33,$G$57:$I$64,3,FALSE)/1000000000</f>
        <v>47.933010000000003</v>
      </c>
      <c r="X33" s="28" cm="1">
        <f t="array" ref="X33">_FV(C33,"P/E",TRUE)</f>
        <v>8.4700000000000006</v>
      </c>
      <c r="Y33" s="26">
        <f t="shared" ref="Y33:Y39" si="26">O33/$E$59</f>
        <v>6.4364183764577601E-3</v>
      </c>
      <c r="Z33" s="204">
        <f>SUM($Y$33:$Y$39)</f>
        <v>9.0202750835783441E-2</v>
      </c>
      <c r="AA33" s="29">
        <v>2.5000000000000001E-2</v>
      </c>
      <c r="AB33" t="str" cm="1">
        <f t="array" ref="AB33">_FV(C33,"Ticker symbol",TRUE)</f>
        <v>DPW</v>
      </c>
      <c r="AC33" t="str" cm="1">
        <f t="array" ref="AC33">_FV(C33,"Exchange abbreviation",TRUE)</f>
        <v>XFRA</v>
      </c>
    </row>
    <row r="34" spans="2:29" x14ac:dyDescent="0.25">
      <c r="B34" s="208"/>
      <c r="C34" s="30" t="e" vm="28">
        <v>#VALUE!</v>
      </c>
      <c r="D34" s="31">
        <v>44120</v>
      </c>
      <c r="E34" s="97" cm="1">
        <f t="array" ref="E34">_FV(C34,"Previous close",TRUE)</f>
        <v>82.1</v>
      </c>
      <c r="F34" s="97">
        <v>85</v>
      </c>
      <c r="G34" s="33">
        <f>E34/F34-1</f>
        <v>-3.4117647058823586E-2</v>
      </c>
      <c r="H34" s="34" t="str" cm="1">
        <f t="array" ref="H34">_FV(C34,"Currency")</f>
        <v>CAD</v>
      </c>
      <c r="I34" s="35">
        <f t="shared" si="19"/>
        <v>59.415255463887682</v>
      </c>
      <c r="J34" s="35">
        <v>57.379199766780843</v>
      </c>
      <c r="K34" s="35">
        <v>45.268599999999999</v>
      </c>
      <c r="L34" s="36">
        <v>9</v>
      </c>
      <c r="M34" s="37">
        <f t="shared" si="11"/>
        <v>407.41739999999999</v>
      </c>
      <c r="N34" s="98">
        <f t="shared" si="20"/>
        <v>738.9</v>
      </c>
      <c r="O34" s="39">
        <f t="shared" si="21"/>
        <v>534.73729917498918</v>
      </c>
      <c r="P34" s="35">
        <f>2.21+2.44+2.44+2.57+2.77+2.83+3.04</f>
        <v>18.3</v>
      </c>
      <c r="Q34" s="40">
        <f t="shared" si="22"/>
        <v>3.5484212142770089E-2</v>
      </c>
      <c r="R34" s="40">
        <f t="shared" si="23"/>
        <v>0.35742189502703892</v>
      </c>
      <c r="S34" s="35">
        <f t="shared" si="24"/>
        <v>127.31989917498919</v>
      </c>
      <c r="T34" s="200"/>
      <c r="U34" s="200"/>
      <c r="V34" s="41" cm="1">
        <f t="array" ref="V34">_FV(C34,"Market cap",TRUE)</f>
        <v>23814770000</v>
      </c>
      <c r="W34" s="35">
        <f t="shared" si="25"/>
        <v>17.234599797365757</v>
      </c>
      <c r="X34" s="42" cm="1">
        <f t="array" ref="X34">_FV(C34,"P/E",TRUE)</f>
        <v>18.41</v>
      </c>
      <c r="Y34" s="40">
        <f t="shared" si="26"/>
        <v>9.9614858585490764E-3</v>
      </c>
      <c r="Z34" s="205"/>
      <c r="AA34" s="43">
        <v>2.5000000000000001E-2</v>
      </c>
      <c r="AB34" t="str" cm="1">
        <f t="array" ref="AB34">_FV(C34,"Ticker symbol",TRUE)</f>
        <v>MG</v>
      </c>
      <c r="AC34" t="str" cm="1">
        <f t="array" ref="AC34">_FV(C34,"Exchange abbreviation",TRUE)</f>
        <v>XTSE</v>
      </c>
    </row>
    <row r="35" spans="2:29" x14ac:dyDescent="0.25">
      <c r="B35" s="208"/>
      <c r="C35" s="30" t="e" vm="29">
        <v>#VALUE!</v>
      </c>
      <c r="D35" s="31">
        <v>44250</v>
      </c>
      <c r="E35" s="99" cm="1">
        <f t="array" ref="E35">_FV(C35,"Previous close",TRUE)</f>
        <v>8.9120000000000008</v>
      </c>
      <c r="F35" s="44">
        <v>12</v>
      </c>
      <c r="G35" s="33">
        <f>E35/F35-1</f>
        <v>-0.2573333333333333</v>
      </c>
      <c r="H35" s="34" t="str" cm="1">
        <f t="array" ref="H35">_FV(C35,"Currency")</f>
        <v>EUR</v>
      </c>
      <c r="I35" s="35">
        <f t="shared" si="19"/>
        <v>8.9120000000000008</v>
      </c>
      <c r="J35" s="35">
        <v>8.8059999999999992</v>
      </c>
      <c r="K35" s="35">
        <v>8.5879999999999992</v>
      </c>
      <c r="L35" s="36">
        <v>100</v>
      </c>
      <c r="M35" s="37">
        <f t="shared" si="11"/>
        <v>858.8</v>
      </c>
      <c r="N35" s="38">
        <f t="shared" si="20"/>
        <v>891.2</v>
      </c>
      <c r="O35" s="39">
        <f t="shared" si="21"/>
        <v>891.2</v>
      </c>
      <c r="P35" s="35">
        <v>36.08</v>
      </c>
      <c r="Q35" s="40">
        <f t="shared" si="22"/>
        <v>1.2037247331365242E-2</v>
      </c>
      <c r="R35" s="40">
        <f t="shared" si="23"/>
        <v>7.9739170936190096E-2</v>
      </c>
      <c r="S35" s="35">
        <f t="shared" si="24"/>
        <v>32.400000000000091</v>
      </c>
      <c r="T35" s="200"/>
      <c r="U35" s="200"/>
      <c r="V35" s="45" cm="1">
        <f t="array" ref="V35">_FV(C35,"Market cap",TRUE)</f>
        <v>24078260000</v>
      </c>
      <c r="W35" s="35">
        <f t="shared" si="25"/>
        <v>24.07826</v>
      </c>
      <c r="X35" s="42" cm="1">
        <f t="array" ref="X35">_FV(C35,"P/E",TRUE)</f>
        <v>5.95</v>
      </c>
      <c r="Y35" s="40">
        <f t="shared" si="26"/>
        <v>1.6601939327658119E-2</v>
      </c>
      <c r="Z35" s="205"/>
      <c r="AA35" s="43">
        <v>2.5000000000000001E-2</v>
      </c>
      <c r="AB35" t="str" cm="1">
        <f t="array" ref="AB35">_FV(C35,"Ticker symbol",TRUE)</f>
        <v>EOAN</v>
      </c>
      <c r="AC35" t="str" cm="1">
        <f t="array" ref="AC35">_FV(C35,"Exchange abbreviation",TRUE)</f>
        <v>XFRA</v>
      </c>
    </row>
    <row r="36" spans="2:29" x14ac:dyDescent="0.25">
      <c r="B36" s="208"/>
      <c r="C36" s="30" t="e" vm="30">
        <v>#VALUE!</v>
      </c>
      <c r="D36" s="31">
        <v>44353</v>
      </c>
      <c r="E36" s="32" cm="1">
        <f t="array" ref="E36">_FV(C36,"Previous close",TRUE)</f>
        <v>104.45</v>
      </c>
      <c r="F36" s="82">
        <v>140</v>
      </c>
      <c r="G36" s="33">
        <f>E36/F36-1</f>
        <v>-0.25392857142857139</v>
      </c>
      <c r="H36" s="34" t="str" cm="1">
        <f t="array" ref="H36">_FV(C36,"Currency")</f>
        <v>USD</v>
      </c>
      <c r="I36" s="35">
        <f t="shared" si="19"/>
        <v>101.17202634637738</v>
      </c>
      <c r="J36" s="35">
        <v>101.22681607418858</v>
      </c>
      <c r="K36" s="35">
        <v>121.12</v>
      </c>
      <c r="L36" s="36">
        <v>5</v>
      </c>
      <c r="M36" s="37">
        <f t="shared" si="11"/>
        <v>605.6</v>
      </c>
      <c r="N36" s="38">
        <f t="shared" si="20"/>
        <v>522.25</v>
      </c>
      <c r="O36" s="39">
        <f t="shared" si="21"/>
        <v>505.8601317318869</v>
      </c>
      <c r="P36" s="35">
        <f>0.69+0.74+0.76+0.87+0.91</f>
        <v>3.97</v>
      </c>
      <c r="Q36" s="40">
        <f t="shared" si="22"/>
        <v>-5.412570496244884E-4</v>
      </c>
      <c r="R36" s="40">
        <f t="shared" si="23"/>
        <v>-0.15814046939912996</v>
      </c>
      <c r="S36" s="35">
        <f t="shared" si="24"/>
        <v>-99.739868268113128</v>
      </c>
      <c r="T36" s="200"/>
      <c r="U36" s="200"/>
      <c r="V36" s="41" cm="1">
        <f t="array" ref="V36">_FV(C36,"Market cap",TRUE)</f>
        <v>90074390000</v>
      </c>
      <c r="W36" s="35">
        <f t="shared" si="25"/>
        <v>87.24756877179388</v>
      </c>
      <c r="X36" s="42" cm="1">
        <f t="array" ref="X36">_FV(C36,"P/E",TRUE)</f>
        <v>14.0436</v>
      </c>
      <c r="Y36" s="40">
        <f t="shared" si="26"/>
        <v>9.4235404121341213E-3</v>
      </c>
      <c r="Z36" s="205"/>
      <c r="AA36" s="43">
        <v>2.5000000000000001E-2</v>
      </c>
      <c r="AB36" t="str" cm="1">
        <f t="array" ref="AB36">_FV(C36,"Ticker symbol",TRUE)</f>
        <v>AMAT</v>
      </c>
      <c r="AC36" t="str" cm="1">
        <f t="array" ref="AC36">_FV(C36,"Exchange abbreviation",TRUE)</f>
        <v>XNAS</v>
      </c>
    </row>
    <row r="37" spans="2:29" x14ac:dyDescent="0.25">
      <c r="B37" s="208"/>
      <c r="C37" s="30" t="e" vm="31">
        <v>#VALUE!</v>
      </c>
      <c r="D37" s="31">
        <v>44328</v>
      </c>
      <c r="E37" s="44" cm="1">
        <f t="array" ref="E37">_FV(C37,"Previous close",TRUE)</f>
        <v>37.22</v>
      </c>
      <c r="F37" s="44"/>
      <c r="G37" s="33"/>
      <c r="H37" s="34" t="str" cm="1">
        <f t="array" ref="H37">_FV(C37,"Currency")</f>
        <v>EUR</v>
      </c>
      <c r="I37" s="35">
        <f t="shared" si="19"/>
        <v>37.22</v>
      </c>
      <c r="J37" s="35">
        <v>38.39</v>
      </c>
      <c r="K37" s="35">
        <v>40.692</v>
      </c>
      <c r="L37" s="36">
        <v>10</v>
      </c>
      <c r="M37" s="37">
        <f t="shared" si="11"/>
        <v>406.92</v>
      </c>
      <c r="N37" s="100">
        <f t="shared" si="20"/>
        <v>372.2</v>
      </c>
      <c r="O37" s="39">
        <f t="shared" si="21"/>
        <v>372.2</v>
      </c>
      <c r="P37" s="35">
        <f>1.49+6.61+1.87</f>
        <v>9.9699999999999989</v>
      </c>
      <c r="Q37" s="40">
        <f t="shared" si="22"/>
        <v>-3.047668663714509E-2</v>
      </c>
      <c r="R37" s="40">
        <f t="shared" si="23"/>
        <v>-6.082276614567983E-2</v>
      </c>
      <c r="S37" s="35">
        <f t="shared" si="24"/>
        <v>-34.720000000000027</v>
      </c>
      <c r="T37" s="200"/>
      <c r="U37" s="200"/>
      <c r="V37" s="41" cm="1">
        <f t="array" ref="V37">_FV(C37,"Market cap",TRUE)</f>
        <v>24761090000</v>
      </c>
      <c r="W37" s="35">
        <f t="shared" si="25"/>
        <v>24.761089999999999</v>
      </c>
      <c r="X37" s="42" cm="1">
        <f t="array" ref="X37">_FV(C37,"P/E",TRUE)</f>
        <v>16.9954</v>
      </c>
      <c r="Y37" s="40">
        <f t="shared" si="26"/>
        <v>6.9336196339254384E-3</v>
      </c>
      <c r="Z37" s="205"/>
      <c r="AA37" s="43">
        <v>2.5000000000000001E-2</v>
      </c>
      <c r="AB37" t="str" cm="1">
        <f t="array" ref="AB37">_FV(C37,"Ticker symbol",TRUE)</f>
        <v>CRG</v>
      </c>
      <c r="AC37" t="str" cm="1">
        <f t="array" ref="AC37">_FV(C37,"Exchange abbreviation",TRUE)</f>
        <v>XDUB</v>
      </c>
    </row>
    <row r="38" spans="2:29" x14ac:dyDescent="0.25">
      <c r="B38" s="208"/>
      <c r="C38" s="30" t="e" vm="32">
        <v>#VALUE!</v>
      </c>
      <c r="D38" s="31">
        <v>44529</v>
      </c>
      <c r="E38" s="82" cm="1">
        <f t="array" ref="E38">_FV(C38,"Previous close",TRUE)</f>
        <v>293.3</v>
      </c>
      <c r="F38" s="44">
        <v>333.74</v>
      </c>
      <c r="G38" s="33">
        <f>E38/F38-1</f>
        <v>-0.12117216995265778</v>
      </c>
      <c r="H38" s="34" t="str" cm="1">
        <f t="array" ref="H38">_FV(C38,"Currency")</f>
        <v>USD</v>
      </c>
      <c r="I38" s="35">
        <f t="shared" si="19"/>
        <v>284.0953118946145</v>
      </c>
      <c r="J38" s="35">
        <v>279.74304482225659</v>
      </c>
      <c r="K38" s="35">
        <v>261.77999999999997</v>
      </c>
      <c r="L38" s="36">
        <v>5</v>
      </c>
      <c r="M38" s="37">
        <f t="shared" si="11"/>
        <v>1308.8999999999999</v>
      </c>
      <c r="N38" s="38">
        <f t="shared" si="20"/>
        <v>1466.5</v>
      </c>
      <c r="O38" s="39">
        <f t="shared" si="21"/>
        <v>1420.4765594730725</v>
      </c>
      <c r="P38" s="35">
        <f>4.59+5.36+5.53+5.49</f>
        <v>20.97</v>
      </c>
      <c r="Q38" s="40">
        <f t="shared" si="22"/>
        <v>1.5558088584912921E-2</v>
      </c>
      <c r="R38" s="40">
        <f t="shared" si="23"/>
        <v>0.10126561194367234</v>
      </c>
      <c r="S38" s="35">
        <f t="shared" si="24"/>
        <v>111.57655947307262</v>
      </c>
      <c r="T38" s="200"/>
      <c r="U38" s="200"/>
      <c r="V38" s="41" cm="1">
        <f t="array" ref="V38">_FV(C38,"Market cap",TRUE)</f>
        <v>65758960000</v>
      </c>
      <c r="W38" s="35">
        <f t="shared" si="25"/>
        <v>63.695234405269282</v>
      </c>
      <c r="X38" s="42" cm="1">
        <f t="array" ref="X38">_FV(C38,"P/E",TRUE)</f>
        <v>29.0914</v>
      </c>
      <c r="Y38" s="40">
        <f t="shared" si="26"/>
        <v>2.6461698447859623E-2</v>
      </c>
      <c r="Z38" s="205"/>
      <c r="AA38" s="43">
        <v>2.5000000000000001E-2</v>
      </c>
      <c r="AB38" t="str" cm="1">
        <f t="array" ref="AB38">_FV(C38,"Ticker symbol",TRUE)</f>
        <v>APD</v>
      </c>
      <c r="AC38" t="str" cm="1">
        <f t="array" ref="AC38">_FV(C38,"Exchange abbreviation",TRUE)</f>
        <v>XNYS</v>
      </c>
    </row>
    <row r="39" spans="2:29" ht="16.5" thickBot="1" x14ac:dyDescent="0.3">
      <c r="B39" s="209"/>
      <c r="C39" s="47" t="e" vm="33">
        <v>#VALUE!</v>
      </c>
      <c r="D39" s="48">
        <v>44608</v>
      </c>
      <c r="E39" s="90" cm="1">
        <f t="array" ref="E39">_FV(C39,"Previous close",TRUE)</f>
        <v>61.32</v>
      </c>
      <c r="F39" s="90">
        <v>114.42</v>
      </c>
      <c r="G39" s="51">
        <f>E39/F39-1</f>
        <v>-0.46407970634504458</v>
      </c>
      <c r="H39" s="52" t="str" cm="1">
        <f t="array" ref="H39">_FV(C39,"Currency")</f>
        <v>USD</v>
      </c>
      <c r="I39" s="53">
        <f t="shared" si="19"/>
        <v>59.395583107322743</v>
      </c>
      <c r="J39" s="53">
        <v>56.317619783616692</v>
      </c>
      <c r="K39" s="53">
        <v>60.9</v>
      </c>
      <c r="L39" s="54">
        <v>13</v>
      </c>
      <c r="M39" s="55">
        <f t="shared" si="11"/>
        <v>791.69999999999993</v>
      </c>
      <c r="N39" s="91">
        <f t="shared" si="20"/>
        <v>797.16</v>
      </c>
      <c r="O39" s="57">
        <f t="shared" si="21"/>
        <v>772.14258039519564</v>
      </c>
      <c r="P39" s="53">
        <f>1.82+1.88+1.99</f>
        <v>5.69</v>
      </c>
      <c r="Q39" s="58">
        <f t="shared" si="22"/>
        <v>5.4653647216132084E-2</v>
      </c>
      <c r="R39" s="58">
        <f t="shared" si="23"/>
        <v>-1.7516003037519545E-2</v>
      </c>
      <c r="S39" s="53">
        <f t="shared" si="24"/>
        <v>-19.557419604804295</v>
      </c>
      <c r="T39" s="201"/>
      <c r="U39" s="201"/>
      <c r="V39" s="61" cm="1">
        <f t="array" ref="V39">_FV(C39,"Market cap",TRUE)</f>
        <v>4420742000</v>
      </c>
      <c r="W39" s="53">
        <f t="shared" si="25"/>
        <v>4.2820050368074387</v>
      </c>
      <c r="X39" s="62" cm="1">
        <f t="array" ref="X39">_FV(C39,"P/E",TRUE)</f>
        <v>4.6029</v>
      </c>
      <c r="Y39" s="58">
        <f t="shared" si="26"/>
        <v>1.4384048779199302E-2</v>
      </c>
      <c r="Z39" s="206"/>
      <c r="AA39" s="63" t="s">
        <v>37</v>
      </c>
      <c r="AB39" t="str" cm="1">
        <f t="array" ref="AB39">_FV(C39,"Ticker symbol",TRUE)</f>
        <v>LPX</v>
      </c>
      <c r="AC39" t="str" cm="1">
        <f t="array" ref="AC39">_FV(C39,"Exchange abbreviation",TRUE)</f>
        <v>XNYS</v>
      </c>
    </row>
    <row r="40" spans="2:29" ht="16.5" thickBot="1" x14ac:dyDescent="0.3">
      <c r="B40" s="64"/>
      <c r="C40" s="64"/>
      <c r="D40" s="64"/>
      <c r="E40" s="64"/>
      <c r="F40" s="64"/>
      <c r="G40" s="64"/>
      <c r="H40" s="64"/>
      <c r="I40" s="64"/>
      <c r="J40" s="64"/>
      <c r="K40" s="64"/>
      <c r="L40" s="64"/>
      <c r="M40" s="71"/>
      <c r="N40" s="64"/>
      <c r="O40" s="64"/>
      <c r="P40" s="64"/>
      <c r="Q40" s="64"/>
      <c r="R40" s="64"/>
      <c r="S40" s="64"/>
      <c r="T40" s="73"/>
      <c r="U40" s="73"/>
      <c r="V40" s="64"/>
      <c r="W40" s="64"/>
      <c r="X40" s="64"/>
      <c r="Y40" s="64"/>
      <c r="Z40" s="64"/>
      <c r="AA40" s="64"/>
      <c r="AB40" t="e" cm="1" vm="6">
        <f t="array" ref="AB40">_FV(C40,"Ticker symbol",TRUE)</f>
        <v>#VALUE!</v>
      </c>
      <c r="AC40" t="e" cm="1" vm="7">
        <f t="array" ref="AC40">_FV(C40,"Exchange abbreviation",TRUE)</f>
        <v>#VALUE!</v>
      </c>
    </row>
    <row r="41" spans="2:29" x14ac:dyDescent="0.25">
      <c r="B41" s="207" t="s">
        <v>40</v>
      </c>
      <c r="C41" s="17" t="e" vm="34">
        <v>#VALUE!</v>
      </c>
      <c r="D41" s="18">
        <v>44120</v>
      </c>
      <c r="E41" s="19" cm="1">
        <f t="array" ref="E41">_FV(C41,"Previous close",TRUE)</f>
        <v>18.952000000000002</v>
      </c>
      <c r="F41" s="19">
        <v>20</v>
      </c>
      <c r="G41" s="20">
        <f t="shared" ref="G41:G50" si="27">E41/F41-1</f>
        <v>-5.2399999999999891E-2</v>
      </c>
      <c r="H41" s="21" t="str" cm="1">
        <f t="array" ref="H41">_FV(C41,"Currency")</f>
        <v>EUR</v>
      </c>
      <c r="I41" s="22">
        <f t="shared" ref="I41:I50" si="28">E41/VLOOKUP(H41,$G$57:$I$65,3,FALSE)</f>
        <v>18.952000000000002</v>
      </c>
      <c r="J41" s="22">
        <v>18.917999999999999</v>
      </c>
      <c r="K41" s="22">
        <v>13.975</v>
      </c>
      <c r="L41" s="23">
        <v>111</v>
      </c>
      <c r="M41" s="24">
        <f t="shared" ref="M41:M50" si="29">K41*L41</f>
        <v>1551.2249999999999</v>
      </c>
      <c r="N41" s="24">
        <f t="shared" ref="N41:N50" si="30">E41*L41</f>
        <v>2103.672</v>
      </c>
      <c r="O41" s="25">
        <f t="shared" ref="O41:O50" si="31">L41*I41</f>
        <v>2103.672</v>
      </c>
      <c r="P41" s="22">
        <f>66.6+71.04</f>
        <v>137.63999999999999</v>
      </c>
      <c r="Q41" s="26">
        <f t="shared" ref="Q41:Q50" si="32">I41/J41-1</f>
        <v>1.7972301511788302E-3</v>
      </c>
      <c r="R41" s="26">
        <f t="shared" ref="R41:R50" si="33">(O41+P41)/(L41*K41)-1</f>
        <v>0.444865831842576</v>
      </c>
      <c r="S41" s="22">
        <f t="shared" ref="S41:S50" si="34">O41-(K41*L41)</f>
        <v>552.44700000000012</v>
      </c>
      <c r="T41" s="199">
        <f>SUMPRODUCT(Q41:Q50,Y41:Y50)</f>
        <v>5.6063745038377718E-3</v>
      </c>
      <c r="U41" s="199">
        <f>SUMPRODUCT(R41:R50,Y41:Y50)</f>
        <v>-2.4013293471416286E-3</v>
      </c>
      <c r="V41" s="27" cm="1">
        <f t="array" ref="V41">_FV(C41,"Market cap",TRUE)</f>
        <v>96398220000</v>
      </c>
      <c r="W41" s="22">
        <f t="shared" ref="W41:W47" si="35">V41/VLOOKUP(H41,$G$57:$I$64,3,FALSE)/1000000000</f>
        <v>96.398219999999995</v>
      </c>
      <c r="X41" s="28" cm="1">
        <f t="array" ref="X41">_FV(C41,"P/E",TRUE)</f>
        <v>12.89</v>
      </c>
      <c r="Y41" s="26">
        <f t="shared" ref="Y41:Y50" si="36">O41/$E$59</f>
        <v>3.9188773461953777E-2</v>
      </c>
      <c r="Z41" s="204">
        <f>SUM($Y$41:$Y$50)</f>
        <v>0.18668022569388845</v>
      </c>
      <c r="AA41" s="29">
        <v>2.5000000000000001E-2</v>
      </c>
      <c r="AB41" t="str" cm="1">
        <f t="array" ref="AB41">_FV(C41,"Ticker symbol",TRUE)</f>
        <v>DTE</v>
      </c>
      <c r="AC41" t="str" cm="1">
        <f t="array" ref="AC41">_FV(C41,"Exchange abbreviation",TRUE)</f>
        <v>XFRA</v>
      </c>
    </row>
    <row r="42" spans="2:29" x14ac:dyDescent="0.25">
      <c r="B42" s="208"/>
      <c r="C42" s="30" t="e" vm="35">
        <v>#VALUE!</v>
      </c>
      <c r="D42" s="31">
        <v>44120</v>
      </c>
      <c r="E42" s="82" cm="1">
        <f t="array" ref="E42">_FV(C42,"Previous close",TRUE)</f>
        <v>295.27999999999997</v>
      </c>
      <c r="F42" s="82">
        <v>576</v>
      </c>
      <c r="G42" s="33">
        <f t="shared" si="27"/>
        <v>-0.48736111111111113</v>
      </c>
      <c r="H42" s="34" t="str" cm="1">
        <f t="array" ref="H42">_FV(C42,"Currency")</f>
        <v>USD</v>
      </c>
      <c r="I42" s="35">
        <f t="shared" si="28"/>
        <v>286.01317318868655</v>
      </c>
      <c r="J42" s="35">
        <v>265.62017001545598</v>
      </c>
      <c r="K42" s="35">
        <f>562.23/1.1718</f>
        <v>479.8003072196621</v>
      </c>
      <c r="L42" s="36">
        <v>3</v>
      </c>
      <c r="M42" s="37">
        <f t="shared" si="29"/>
        <v>1439.4009216589864</v>
      </c>
      <c r="N42" s="38">
        <f t="shared" si="30"/>
        <v>885.83999999999992</v>
      </c>
      <c r="O42" s="39">
        <f t="shared" si="31"/>
        <v>858.03951956605965</v>
      </c>
      <c r="P42" s="35"/>
      <c r="Q42" s="40">
        <f t="shared" si="32"/>
        <v>7.6775055042107354E-2</v>
      </c>
      <c r="R42" s="40">
        <f t="shared" si="33"/>
        <v>-0.403891225401521</v>
      </c>
      <c r="S42" s="35">
        <f t="shared" si="34"/>
        <v>-581.36140209292671</v>
      </c>
      <c r="T42" s="200"/>
      <c r="U42" s="200"/>
      <c r="V42" s="41" cm="1">
        <f t="array" ref="V42">_FV(C42,"Market cap",TRUE)</f>
        <v>128157000000</v>
      </c>
      <c r="W42" s="35">
        <f t="shared" si="35"/>
        <v>124.1350251840372</v>
      </c>
      <c r="X42" s="42" cm="1">
        <f t="array" ref="X42">_FV(C42,"P/E",TRUE)</f>
        <v>27.840900000000001</v>
      </c>
      <c r="Y42" s="40">
        <f t="shared" si="36"/>
        <v>1.5984201127208979E-2</v>
      </c>
      <c r="Z42" s="205"/>
      <c r="AA42" s="43">
        <v>2.5000000000000001E-2</v>
      </c>
      <c r="AB42" t="str" cm="1">
        <f t="array" ref="AB42">_FV(C42,"Ticker symbol",TRUE)</f>
        <v>NFLX</v>
      </c>
      <c r="AC42" t="str" cm="1">
        <f t="array" ref="AC42">_FV(C42,"Exchange abbreviation",TRUE)</f>
        <v>XNAS</v>
      </c>
    </row>
    <row r="43" spans="2:29" x14ac:dyDescent="0.25">
      <c r="B43" s="208"/>
      <c r="C43" s="30" t="e" vm="36">
        <v>#VALUE!</v>
      </c>
      <c r="D43" s="31">
        <v>44120</v>
      </c>
      <c r="E43" s="82" cm="1">
        <f t="array" ref="E43">_FV(C43,"Previous close",TRUE)</f>
        <v>162.63</v>
      </c>
      <c r="F43" s="82">
        <v>120</v>
      </c>
      <c r="G43" s="33">
        <f t="shared" si="27"/>
        <v>0.35525000000000007</v>
      </c>
      <c r="H43" s="34" t="str" cm="1">
        <f t="array" ref="H43">_FV(C43,"Currency")</f>
        <v>USD</v>
      </c>
      <c r="I43" s="35">
        <f t="shared" si="28"/>
        <v>157.52615265401008</v>
      </c>
      <c r="J43" s="35">
        <v>156.61707882534776</v>
      </c>
      <c r="K43" s="35">
        <v>94.04</v>
      </c>
      <c r="L43" s="36">
        <f>10-6</f>
        <v>4</v>
      </c>
      <c r="M43" s="37">
        <f t="shared" si="29"/>
        <v>376.16</v>
      </c>
      <c r="N43" s="38">
        <f t="shared" si="30"/>
        <v>650.52</v>
      </c>
      <c r="O43" s="39">
        <f t="shared" si="31"/>
        <v>630.1046106160403</v>
      </c>
      <c r="P43" s="35">
        <f>9.2+9.69+4.83+5.01+5.46+6.04+5.66+6.05</f>
        <v>51.94</v>
      </c>
      <c r="Q43" s="40">
        <f t="shared" si="32"/>
        <v>5.8044361156555091E-3</v>
      </c>
      <c r="R43" s="40">
        <f t="shared" si="33"/>
        <v>0.81317686786484522</v>
      </c>
      <c r="S43" s="35">
        <f t="shared" si="34"/>
        <v>253.94461061604028</v>
      </c>
      <c r="T43" s="200"/>
      <c r="U43" s="200"/>
      <c r="V43" s="41" cm="1">
        <f t="array" ref="V43">_FV(C43,"Market cap",TRUE)</f>
        <v>65624480000</v>
      </c>
      <c r="W43" s="35">
        <f t="shared" si="35"/>
        <v>63.564974815962806</v>
      </c>
      <c r="X43" s="42" cm="1">
        <f t="array" ref="X43">_FV(C43,"P/E",TRUE)</f>
        <v>28.4679</v>
      </c>
      <c r="Y43" s="40">
        <f t="shared" si="36"/>
        <v>1.1738059375589254E-2</v>
      </c>
      <c r="Z43" s="205"/>
      <c r="AA43" s="43">
        <v>2.5000000000000001E-2</v>
      </c>
      <c r="AB43" t="str" cm="1">
        <f t="array" ref="AB43">_FV(C43,"Ticker symbol",TRUE)</f>
        <v>ETN</v>
      </c>
      <c r="AC43" t="str" cm="1">
        <f t="array" ref="AC43">_FV(C43,"Exchange abbreviation",TRUE)</f>
        <v>XNYS</v>
      </c>
    </row>
    <row r="44" spans="2:29" x14ac:dyDescent="0.25">
      <c r="B44" s="208"/>
      <c r="C44" s="30" t="e" vm="37">
        <v>#VALUE!</v>
      </c>
      <c r="D44" s="31">
        <v>44120</v>
      </c>
      <c r="E44" s="82" cm="1">
        <f t="array" ref="E44">_FV(C44,"Previous close",TRUE)</f>
        <v>156.77000000000001</v>
      </c>
      <c r="F44" s="82">
        <f>549/4</f>
        <v>137.25</v>
      </c>
      <c r="G44" s="33">
        <f t="shared" si="27"/>
        <v>0.14222222222222225</v>
      </c>
      <c r="H44" s="34" t="str" cm="1">
        <f t="array" ref="H44">_FV(C44,"Currency")</f>
        <v>USD</v>
      </c>
      <c r="I44" s="35">
        <f t="shared" si="28"/>
        <v>151.85005811700893</v>
      </c>
      <c r="J44" s="35">
        <v>152.14451313755796</v>
      </c>
      <c r="K44" s="35">
        <f>479.8/4</f>
        <v>119.95</v>
      </c>
      <c r="L44" s="36">
        <v>3</v>
      </c>
      <c r="M44" s="37">
        <f t="shared" si="29"/>
        <v>359.85</v>
      </c>
      <c r="N44" s="38">
        <f t="shared" si="30"/>
        <v>470.31000000000006</v>
      </c>
      <c r="O44" s="39">
        <f t="shared" si="31"/>
        <v>455.55017435102678</v>
      </c>
      <c r="P44" s="35">
        <f>0.18+0.18+0.19+0.17+0.19+0.2+0.07+0.08</f>
        <v>1.2600000000000002</v>
      </c>
      <c r="Q44" s="40">
        <f t="shared" si="32"/>
        <v>-1.935364046173782E-3</v>
      </c>
      <c r="R44" s="40">
        <f t="shared" si="33"/>
        <v>0.26944608684459292</v>
      </c>
      <c r="S44" s="35">
        <f t="shared" si="34"/>
        <v>95.70017435102676</v>
      </c>
      <c r="T44" s="200"/>
      <c r="U44" s="200"/>
      <c r="V44" s="41" cm="1">
        <f t="array" ref="V44">_FV(C44,"Market cap",TRUE)</f>
        <v>383684100000</v>
      </c>
      <c r="W44" s="35">
        <f t="shared" si="35"/>
        <v>371.64287098024022</v>
      </c>
      <c r="X44" s="42" cm="1">
        <f t="array" ref="X44">_FV(C44,"P/E",TRUE)</f>
        <v>66.681700000000006</v>
      </c>
      <c r="Y44" s="40">
        <f t="shared" si="36"/>
        <v>8.4863289444342717E-3</v>
      </c>
      <c r="Z44" s="205"/>
      <c r="AA44" s="43">
        <v>5.8000000000000003E-2</v>
      </c>
      <c r="AB44" t="str" cm="1">
        <f t="array" ref="AB44">_FV(C44,"Ticker symbol",TRUE)</f>
        <v>NVDA</v>
      </c>
      <c r="AC44" t="str" cm="1">
        <f t="array" ref="AC44">_FV(C44,"Exchange abbreviation",TRUE)</f>
        <v>XNAS</v>
      </c>
    </row>
    <row r="45" spans="2:29" x14ac:dyDescent="0.25">
      <c r="B45" s="208"/>
      <c r="C45" s="30" t="e" vm="38">
        <v>#VALUE!</v>
      </c>
      <c r="D45" s="31">
        <v>44250</v>
      </c>
      <c r="E45" s="44" cm="1">
        <f t="array" ref="E45">_FV(C45,"Previous close",TRUE)</f>
        <v>107.02</v>
      </c>
      <c r="F45" s="44">
        <v>128</v>
      </c>
      <c r="G45" s="33">
        <f t="shared" si="27"/>
        <v>-0.16390625000000003</v>
      </c>
      <c r="H45" s="34" t="str" cm="1">
        <f t="array" ref="H45">_FV(C45,"Currency")</f>
        <v>EUR</v>
      </c>
      <c r="I45" s="35">
        <f t="shared" si="28"/>
        <v>107.02</v>
      </c>
      <c r="J45" s="35">
        <v>106</v>
      </c>
      <c r="K45" s="35">
        <v>101.6</v>
      </c>
      <c r="L45" s="36">
        <v>4</v>
      </c>
      <c r="M45" s="37">
        <f t="shared" si="29"/>
        <v>406.4</v>
      </c>
      <c r="N45" s="38">
        <f t="shared" si="30"/>
        <v>428.08</v>
      </c>
      <c r="O45" s="39">
        <f t="shared" si="31"/>
        <v>428.08</v>
      </c>
      <c r="P45" s="35">
        <f>7.22</f>
        <v>7.22</v>
      </c>
      <c r="Q45" s="40">
        <f t="shared" si="32"/>
        <v>9.6226415094338158E-3</v>
      </c>
      <c r="R45" s="40">
        <f t="shared" si="33"/>
        <v>7.1112204724409489E-2</v>
      </c>
      <c r="S45" s="35">
        <f t="shared" si="34"/>
        <v>21.680000000000007</v>
      </c>
      <c r="T45" s="200"/>
      <c r="U45" s="200"/>
      <c r="V45" s="41" cm="1">
        <f t="array" ref="V45">_FV(C45,"Market cap",TRUE)</f>
        <v>133840500000</v>
      </c>
      <c r="W45" s="35">
        <f t="shared" si="35"/>
        <v>133.84049999999999</v>
      </c>
      <c r="X45" s="42" cm="1">
        <f t="array" ref="X45">_FV(C45,"P/E",TRUE)</f>
        <v>38.950000000000003</v>
      </c>
      <c r="Y45" s="40">
        <f t="shared" si="36"/>
        <v>7.9745940163643246E-3</v>
      </c>
      <c r="Z45" s="205"/>
      <c r="AA45" s="43">
        <v>2.5000000000000001E-2</v>
      </c>
      <c r="AB45" t="str" cm="1">
        <f t="array" ref="AB45">_FV(C45,"Ticker symbol",TRUE)</f>
        <v>SAPA</v>
      </c>
      <c r="AC45" t="str" cm="1">
        <f t="array" ref="AC45">_FV(C45,"Exchange abbreviation",TRUE)</f>
        <v>XFRA</v>
      </c>
    </row>
    <row r="46" spans="2:29" x14ac:dyDescent="0.25">
      <c r="B46" s="208"/>
      <c r="C46" s="30" t="e" vm="39">
        <v>#VALUE!</v>
      </c>
      <c r="D46" s="31">
        <v>44463</v>
      </c>
      <c r="E46" s="82" cm="1">
        <f t="array" ref="E46">_FV(C46,"Previous close",TRUE)</f>
        <v>39.119999999999997</v>
      </c>
      <c r="F46" s="82">
        <v>100.72</v>
      </c>
      <c r="G46" s="33">
        <f t="shared" si="27"/>
        <v>-0.6115965051628276</v>
      </c>
      <c r="H46" s="34" t="str" cm="1">
        <f t="array" ref="H46">_FV(C46,"Currency")</f>
        <v>USD</v>
      </c>
      <c r="I46" s="35">
        <f t="shared" si="28"/>
        <v>37.892289810151105</v>
      </c>
      <c r="J46" s="35">
        <v>32.264296754250388</v>
      </c>
      <c r="K46" s="35">
        <v>50.13</v>
      </c>
      <c r="L46" s="36">
        <v>18</v>
      </c>
      <c r="M46" s="37">
        <f t="shared" si="29"/>
        <v>902.34</v>
      </c>
      <c r="N46" s="38">
        <f t="shared" si="30"/>
        <v>704.16</v>
      </c>
      <c r="O46" s="39">
        <f t="shared" si="31"/>
        <v>682.06121658271991</v>
      </c>
      <c r="P46" s="35">
        <v>22.54</v>
      </c>
      <c r="Q46" s="40">
        <f t="shared" si="32"/>
        <v>0.17443408417570128</v>
      </c>
      <c r="R46" s="40">
        <f t="shared" si="33"/>
        <v>-0.21913999536458562</v>
      </c>
      <c r="S46" s="35">
        <f t="shared" si="34"/>
        <v>-220.27878341728012</v>
      </c>
      <c r="T46" s="200"/>
      <c r="U46" s="200"/>
      <c r="V46" s="101" cm="1">
        <f t="array" ref="V46">_FV(C46,"Market cap",TRUE)</f>
        <v>2757474000000</v>
      </c>
      <c r="W46" s="35">
        <f t="shared" si="35"/>
        <v>2670.9356838434719</v>
      </c>
      <c r="X46" s="42">
        <v>19.579999999999998</v>
      </c>
      <c r="Y46" s="40">
        <f t="shared" si="36"/>
        <v>1.2705945843194568E-2</v>
      </c>
      <c r="Z46" s="205"/>
      <c r="AA46" s="43">
        <v>2.5000000000000001E-2</v>
      </c>
      <c r="AB46" t="str" cm="1">
        <f t="array" ref="AB46">_FV(C46,"Ticker symbol",TRUE)</f>
        <v>TCEHY</v>
      </c>
      <c r="AC46" t="str" cm="1">
        <f t="array" ref="AC46">_FV(C46,"Exchange abbreviation",TRUE)</f>
        <v>OTCM</v>
      </c>
    </row>
    <row r="47" spans="2:29" x14ac:dyDescent="0.25">
      <c r="B47" s="208"/>
      <c r="C47" s="30" t="e" vm="40">
        <v>#VALUE!</v>
      </c>
      <c r="D47" s="31">
        <v>44469</v>
      </c>
      <c r="E47" s="82" cm="1">
        <f t="array" ref="E47">_FV(C47,"Previous close",TRUE)</f>
        <v>98.5</v>
      </c>
      <c r="F47" s="82">
        <f>4322.4/20</f>
        <v>216.11999999999998</v>
      </c>
      <c r="G47" s="33">
        <f t="shared" si="27"/>
        <v>-0.54423468443457335</v>
      </c>
      <c r="H47" s="34" t="str" cm="1">
        <f t="array" ref="H47">_FV(C47,"Currency")</f>
        <v>USD</v>
      </c>
      <c r="I47" s="35">
        <f t="shared" si="28"/>
        <v>95.408756296009301</v>
      </c>
      <c r="J47" s="35">
        <v>90.96792890262752</v>
      </c>
      <c r="K47" s="35">
        <f>2750/20</f>
        <v>137.5</v>
      </c>
      <c r="L47" s="36">
        <v>20</v>
      </c>
      <c r="M47" s="37">
        <f t="shared" si="29"/>
        <v>2750</v>
      </c>
      <c r="N47" s="38">
        <f t="shared" si="30"/>
        <v>1970</v>
      </c>
      <c r="O47" s="39">
        <f t="shared" si="31"/>
        <v>1908.175125920186</v>
      </c>
      <c r="P47" s="35">
        <v>0</v>
      </c>
      <c r="Q47" s="40">
        <f t="shared" si="32"/>
        <v>4.8817505762225988E-2</v>
      </c>
      <c r="R47" s="102">
        <f t="shared" si="33"/>
        <v>-0.30611813602902327</v>
      </c>
      <c r="S47" s="35">
        <f t="shared" si="34"/>
        <v>-841.82487407981398</v>
      </c>
      <c r="T47" s="200"/>
      <c r="U47" s="200"/>
      <c r="V47" s="103" cm="1">
        <f t="array" ref="V47">_FV(C47,"Market cap",TRUE)</f>
        <v>1263288000000</v>
      </c>
      <c r="W47" s="35">
        <f t="shared" si="35"/>
        <v>1223.6419992251065</v>
      </c>
      <c r="X47" s="42" cm="1">
        <f t="array" ref="X47">_FV(C47,"P/E",TRUE)</f>
        <v>19.557099999999998</v>
      </c>
      <c r="Y47" s="40">
        <f t="shared" si="36"/>
        <v>3.5546911655154077E-2</v>
      </c>
      <c r="Z47" s="205"/>
      <c r="AA47" s="46">
        <v>2.5000000000000001E-2</v>
      </c>
      <c r="AB47" t="str" cm="1">
        <f t="array" ref="AB47">_FV(C47,"Ticker symbol",TRUE)</f>
        <v>GOOG</v>
      </c>
      <c r="AC47" t="str" cm="1">
        <f t="array" ref="AC47">_FV(C47,"Exchange abbreviation",TRUE)</f>
        <v>XNAS</v>
      </c>
    </row>
    <row r="48" spans="2:29" x14ac:dyDescent="0.25">
      <c r="B48" s="208"/>
      <c r="C48" s="30" t="e" vm="41">
        <v>#VALUE!</v>
      </c>
      <c r="D48" s="31">
        <v>44467</v>
      </c>
      <c r="E48" s="104" cm="1">
        <f t="array" ref="E48">_FV(C48,"Previous close",TRUE)</f>
        <v>6.65</v>
      </c>
      <c r="F48" s="104">
        <v>13.39</v>
      </c>
      <c r="G48" s="33">
        <f t="shared" si="27"/>
        <v>-0.50336071695294993</v>
      </c>
      <c r="H48" s="34" t="str" cm="1">
        <f t="array" ref="H48">_FV(C48,"Currency")</f>
        <v>HKD</v>
      </c>
      <c r="I48" s="35">
        <f t="shared" si="28"/>
        <v>0.82354980928320209</v>
      </c>
      <c r="J48" s="35">
        <v>0.81857070651034913</v>
      </c>
      <c r="K48" s="35">
        <v>0.94</v>
      </c>
      <c r="L48" s="36">
        <v>2000</v>
      </c>
      <c r="M48" s="37">
        <f t="shared" si="29"/>
        <v>1880</v>
      </c>
      <c r="N48" s="38">
        <f t="shared" si="30"/>
        <v>13300</v>
      </c>
      <c r="O48" s="39">
        <f t="shared" si="31"/>
        <v>1647.0996185664042</v>
      </c>
      <c r="P48" s="35">
        <f>18.1+74.9</f>
        <v>93</v>
      </c>
      <c r="Q48" s="40">
        <f t="shared" si="32"/>
        <v>6.0826789100227874E-3</v>
      </c>
      <c r="R48" s="40">
        <f t="shared" si="33"/>
        <v>-7.4415096507231882E-2</v>
      </c>
      <c r="S48" s="35">
        <f t="shared" si="34"/>
        <v>-232.90038143359584</v>
      </c>
      <c r="T48" s="200"/>
      <c r="U48" s="200"/>
      <c r="V48" s="105" cm="1">
        <f t="array" ref="V48">_FV(C48,"Market cap",TRUE)</f>
        <v>79196690000</v>
      </c>
      <c r="W48" s="35">
        <f>V48/VLOOKUP(H48,$G$57:$I$65,3,FALSE)/1000000000</f>
        <v>9.8078825481745682</v>
      </c>
      <c r="X48" s="42" cm="1">
        <f t="array" ref="X48">_FV(C48,"P/E",TRUE)</f>
        <v>4.63</v>
      </c>
      <c r="Y48" s="40">
        <f t="shared" si="36"/>
        <v>3.0683402080395276E-2</v>
      </c>
      <c r="Z48" s="205"/>
      <c r="AA48" s="46">
        <v>5.4800000000000001E-2</v>
      </c>
      <c r="AB48" t="str" cm="1">
        <f t="array" ref="AB48">_FV(C48,"Ticker symbol",TRUE)</f>
        <v>992</v>
      </c>
      <c r="AC48" t="str" cm="1">
        <f t="array" ref="AC48">_FV(C48,"Exchange abbreviation",TRUE)</f>
        <v>XHKG</v>
      </c>
    </row>
    <row r="49" spans="2:30" x14ac:dyDescent="0.25">
      <c r="B49" s="208"/>
      <c r="C49" s="30" t="e" vm="42">
        <v>#VALUE!</v>
      </c>
      <c r="D49" s="31">
        <v>44522</v>
      </c>
      <c r="E49" s="104" cm="1">
        <f t="array" ref="E49">_FV(C49,"Previous close",TRUE)</f>
        <v>111.45</v>
      </c>
      <c r="F49" s="104">
        <v>439.37</v>
      </c>
      <c r="G49" s="33">
        <f t="shared" si="27"/>
        <v>-0.74634135239092336</v>
      </c>
      <c r="H49" s="34" t="str" cm="1">
        <f t="array" ref="H49">_FV(C49,"Currency")</f>
        <v>USD</v>
      </c>
      <c r="I49" s="35">
        <f t="shared" si="28"/>
        <v>107.95234405269277</v>
      </c>
      <c r="J49" s="35">
        <v>108.06607418856261</v>
      </c>
      <c r="K49" s="35">
        <v>310.45</v>
      </c>
      <c r="L49" s="36">
        <v>5</v>
      </c>
      <c r="M49" s="37">
        <f t="shared" si="29"/>
        <v>1552.25</v>
      </c>
      <c r="N49" s="38">
        <f t="shared" si="30"/>
        <v>557.25</v>
      </c>
      <c r="O49" s="39">
        <f t="shared" si="31"/>
        <v>539.76172026346387</v>
      </c>
      <c r="P49" s="35"/>
      <c r="Q49" s="40">
        <f t="shared" si="32"/>
        <v>-1.0524129494275947E-3</v>
      </c>
      <c r="R49" s="40">
        <f t="shared" si="33"/>
        <v>-0.65227139941152279</v>
      </c>
      <c r="S49" s="35">
        <f t="shared" si="34"/>
        <v>-1012.4882797365361</v>
      </c>
      <c r="T49" s="200"/>
      <c r="U49" s="200"/>
      <c r="V49" s="105" cm="1">
        <f t="array" ref="V49">_FV(C49,"Market cap",TRUE)</f>
        <v>297106000000</v>
      </c>
      <c r="W49" s="35">
        <f>V49/VLOOKUP(H49,$G$57:$I$65,3,FALSE)/1000000000</f>
        <v>287.78186749321969</v>
      </c>
      <c r="X49" s="42" cm="1">
        <f t="array" ref="X49">_FV(C49,"P/E",TRUE)</f>
        <v>10.6318</v>
      </c>
      <c r="Y49" s="40">
        <f t="shared" si="36"/>
        <v>1.005508452783483E-2</v>
      </c>
      <c r="Z49" s="205"/>
      <c r="AA49" s="46">
        <v>4.1099999999999998E-2</v>
      </c>
      <c r="AB49" t="str" cm="1">
        <f t="array" ref="AB49">_FV(C49,"Ticker symbol",TRUE)</f>
        <v>META</v>
      </c>
      <c r="AC49" t="str" cm="1">
        <f t="array" ref="AC49">_FV(C49,"Exchange abbreviation",TRUE)</f>
        <v>XNAS</v>
      </c>
    </row>
    <row r="50" spans="2:30" ht="16.5" thickBot="1" x14ac:dyDescent="0.3">
      <c r="B50" s="209"/>
      <c r="C50" s="47" t="e" vm="43">
        <v>#VALUE!</v>
      </c>
      <c r="D50" s="48">
        <v>44603</v>
      </c>
      <c r="E50" s="106" cm="1">
        <f t="array" ref="E50">_FV(C50,"Previous close",TRUE)</f>
        <v>41.76</v>
      </c>
      <c r="F50" s="106">
        <v>69.8</v>
      </c>
      <c r="G50" s="51">
        <f t="shared" si="27"/>
        <v>-0.40171919770773634</v>
      </c>
      <c r="H50" s="52" t="str" cm="1">
        <f t="array" ref="H50">_FV(C50,"Currency")</f>
        <v>USD</v>
      </c>
      <c r="I50" s="53">
        <f t="shared" si="28"/>
        <v>40.449438202247187</v>
      </c>
      <c r="J50" s="53">
        <v>40.30139103554869</v>
      </c>
      <c r="K50" s="53">
        <v>53.3</v>
      </c>
      <c r="L50" s="54">
        <v>19</v>
      </c>
      <c r="M50" s="55">
        <f t="shared" si="29"/>
        <v>1012.6999999999999</v>
      </c>
      <c r="N50" s="91">
        <f t="shared" si="30"/>
        <v>793.43999999999994</v>
      </c>
      <c r="O50" s="57">
        <f t="shared" si="31"/>
        <v>768.5393258426966</v>
      </c>
      <c r="P50" s="53">
        <f>4.17+4.33+4.35</f>
        <v>12.85</v>
      </c>
      <c r="Q50" s="58">
        <f t="shared" si="32"/>
        <v>3.673500166976984E-3</v>
      </c>
      <c r="R50" s="58">
        <f t="shared" si="33"/>
        <v>-0.2284098688232481</v>
      </c>
      <c r="S50" s="53">
        <f t="shared" si="34"/>
        <v>-244.16067415730333</v>
      </c>
      <c r="T50" s="201"/>
      <c r="U50" s="201"/>
      <c r="V50" s="107" cm="1">
        <f t="array" ref="V50">_FV(C50,"Market cap",TRUE)</f>
        <v>30813640000</v>
      </c>
      <c r="W50" s="53">
        <f>V50/VLOOKUP(H50,$G$57:$I$65,3,FALSE)/1000000000</f>
        <v>29.846609841146844</v>
      </c>
      <c r="X50" s="62" cm="1">
        <f t="array" ref="X50">_FV(C50,"P/E",TRUE)</f>
        <v>5.6246999999999998</v>
      </c>
      <c r="Y50" s="58">
        <f t="shared" si="36"/>
        <v>1.4316924661759113E-2</v>
      </c>
      <c r="Z50" s="206"/>
      <c r="AA50" s="63">
        <v>2.5000000000000001E-2</v>
      </c>
      <c r="AB50" t="str" cm="1">
        <f t="array" ref="AB50">_FV(C50,"Ticker symbol",TRUE)</f>
        <v>DELL</v>
      </c>
      <c r="AC50" t="str" cm="1">
        <f t="array" ref="AC50">_FV(C50,"Exchange abbreviation",TRUE)</f>
        <v>XNYS</v>
      </c>
    </row>
    <row r="51" spans="2:30" s="110" customFormat="1" ht="16.5" thickBot="1" x14ac:dyDescent="0.3">
      <c r="B51" s="64"/>
      <c r="C51" s="65"/>
      <c r="D51" s="66"/>
      <c r="E51" s="88"/>
      <c r="F51" s="88"/>
      <c r="G51" s="88"/>
      <c r="H51" s="65"/>
      <c r="I51" s="69"/>
      <c r="J51" s="69"/>
      <c r="K51" s="69"/>
      <c r="L51" s="70"/>
      <c r="M51" s="70" t="s">
        <v>41</v>
      </c>
      <c r="N51" s="88"/>
      <c r="O51" s="69"/>
      <c r="P51" s="69"/>
      <c r="Q51" s="72"/>
      <c r="R51" s="72"/>
      <c r="S51" s="69"/>
      <c r="T51" s="108"/>
      <c r="U51" s="108"/>
      <c r="V51" s="76"/>
      <c r="W51" s="109"/>
      <c r="X51" s="72"/>
      <c r="AA51" s="77"/>
    </row>
    <row r="52" spans="2:30" ht="39.950000000000003" customHeight="1" thickBot="1" x14ac:dyDescent="0.3">
      <c r="B52" s="111" t="s">
        <v>42</v>
      </c>
      <c r="C52" s="112"/>
      <c r="D52" s="112"/>
      <c r="E52" s="112"/>
      <c r="F52" s="112"/>
      <c r="G52" s="112"/>
      <c r="H52" s="113" t="s">
        <v>43</v>
      </c>
      <c r="I52" s="112"/>
      <c r="J52" s="112"/>
      <c r="K52" s="112"/>
      <c r="L52" s="112"/>
      <c r="M52" s="114">
        <f>AVERAGEIF(M5:M50,"&lt;&gt;0")</f>
        <v>991.84684443070671</v>
      </c>
      <c r="N52" s="112"/>
      <c r="O52" s="115">
        <f>'[1]Broker Account'!K8+'[1]Bank Account'!K8</f>
        <v>14549.868759572644</v>
      </c>
      <c r="P52" s="116"/>
      <c r="Q52" s="117"/>
      <c r="R52" s="118"/>
      <c r="S52" s="116"/>
      <c r="T52" s="119"/>
      <c r="U52" s="119"/>
      <c r="V52" s="119"/>
      <c r="W52" s="120"/>
      <c r="X52" s="121"/>
      <c r="Y52" s="122">
        <f>O52/$E$59</f>
        <v>0.27104582402582283</v>
      </c>
      <c r="Z52" s="123">
        <f>Y52</f>
        <v>0.27104582402582283</v>
      </c>
      <c r="AA52" s="124"/>
    </row>
    <row r="53" spans="2:30" ht="16.5" thickBot="1" x14ac:dyDescent="0.3">
      <c r="B53" s="125" t="s">
        <v>44</v>
      </c>
      <c r="C53" s="126">
        <f>COUNTA(C5:C51)</f>
        <v>41</v>
      </c>
      <c r="D53" s="127"/>
      <c r="E53" s="128"/>
      <c r="F53" s="129"/>
      <c r="G53" s="129"/>
      <c r="H53" s="129"/>
      <c r="I53" s="129"/>
      <c r="J53" s="129"/>
      <c r="K53" s="129"/>
      <c r="L53" s="130"/>
      <c r="M53" s="129"/>
      <c r="N53" s="131"/>
      <c r="O53" s="132">
        <f>SUM(O5:O52)</f>
        <v>53680.475660774107</v>
      </c>
      <c r="P53" s="131"/>
      <c r="Q53" s="133"/>
      <c r="R53" s="129"/>
      <c r="S53" s="134">
        <f>SUM(S5:S51)</f>
        <v>-1526.3737204575195</v>
      </c>
      <c r="T53" s="135">
        <f>SUM(T5:T47)</f>
        <v>3.0564475372701228E-3</v>
      </c>
      <c r="U53" s="135">
        <f>SUM(U5:U47)</f>
        <v>4.7543877290964744E-2</v>
      </c>
      <c r="V53" s="136"/>
      <c r="W53" s="137"/>
      <c r="X53" s="138"/>
      <c r="Y53" s="139">
        <f>SUM(Y5:Y52)</f>
        <v>1.0000000000000004</v>
      </c>
      <c r="Z53" s="140">
        <f>SUM(Z5:Z52)</f>
        <v>1</v>
      </c>
      <c r="AA53" s="141"/>
    </row>
    <row r="54" spans="2:30" x14ac:dyDescent="0.25">
      <c r="AA54" s="142"/>
    </row>
    <row r="55" spans="2:30" ht="21" thickBot="1" x14ac:dyDescent="0.3">
      <c r="D55" s="195" t="s">
        <v>45</v>
      </c>
      <c r="E55" s="196"/>
      <c r="G55" s="198" t="s">
        <v>46</v>
      </c>
      <c r="H55" s="198"/>
      <c r="I55" s="198"/>
      <c r="J55" s="198"/>
      <c r="K55" s="198"/>
      <c r="L55" s="198"/>
      <c r="M55" s="143"/>
      <c r="O55" s="197" t="s">
        <v>47</v>
      </c>
      <c r="P55" s="197"/>
      <c r="Q55" s="197"/>
      <c r="R55" s="197"/>
      <c r="S55" s="144"/>
      <c r="T55" s="144"/>
    </row>
    <row r="56" spans="2:30" ht="16.5" thickTop="1" x14ac:dyDescent="0.25">
      <c r="D56" s="145" t="s">
        <v>48</v>
      </c>
      <c r="E56" s="146" t="s">
        <v>49</v>
      </c>
      <c r="G56" s="147" t="s">
        <v>14</v>
      </c>
      <c r="H56" s="147" t="s">
        <v>50</v>
      </c>
      <c r="I56" s="148" t="s">
        <v>51</v>
      </c>
      <c r="J56" s="148" t="s">
        <v>52</v>
      </c>
      <c r="K56" s="149" t="s">
        <v>53</v>
      </c>
      <c r="L56" s="150" t="s">
        <v>54</v>
      </c>
      <c r="M56" s="65"/>
      <c r="O56" s="147" t="s">
        <v>55</v>
      </c>
      <c r="P56" s="148" t="s">
        <v>51</v>
      </c>
      <c r="Q56" s="148" t="s">
        <v>52</v>
      </c>
      <c r="R56" s="149" t="s">
        <v>56</v>
      </c>
    </row>
    <row r="57" spans="2:30" x14ac:dyDescent="0.25">
      <c r="D57" s="151" t="s">
        <v>57</v>
      </c>
      <c r="E57" s="152">
        <f>SUM(O5:O50)</f>
        <v>39130.606901201463</v>
      </c>
      <c r="G57" s="153" t="s">
        <v>43</v>
      </c>
      <c r="H57" s="153" t="s">
        <v>58</v>
      </c>
      <c r="I57" s="154">
        <v>1</v>
      </c>
      <c r="J57" s="154">
        <v>1</v>
      </c>
      <c r="K57" s="40">
        <f t="shared" ref="K57:K65" si="37">I57/J57-1</f>
        <v>0</v>
      </c>
      <c r="L57" s="155">
        <f>SUMIF($H$5:$H$52,G57,$O$5:$O$52)/$E$59</f>
        <v>0.42408958712353467</v>
      </c>
      <c r="M57" s="156"/>
      <c r="O57" s="157" t="e" vm="44">
        <v>#VALUE!</v>
      </c>
      <c r="P57" s="158" cm="1">
        <f t="array" ref="P57">_FV(O57,"Previous close",TRUE)</f>
        <v>3946.56</v>
      </c>
      <c r="Q57" s="159">
        <v>3956.37</v>
      </c>
      <c r="R57" s="160">
        <f>P57/Q57-1</f>
        <v>-2.4795456441131236E-3</v>
      </c>
    </row>
    <row r="58" spans="2:30" x14ac:dyDescent="0.25">
      <c r="D58" s="161" t="s">
        <v>59</v>
      </c>
      <c r="E58" s="162">
        <f>O52</f>
        <v>14549.868759572644</v>
      </c>
      <c r="G58" s="163" t="str" cm="1">
        <f t="array" ref="G58">_FV(H58,"currency")</f>
        <v>USD</v>
      </c>
      <c r="H58" s="163" t="e" vm="45">
        <v>#VALUE!</v>
      </c>
      <c r="I58" s="164" cm="1">
        <f t="array" ref="I58">_FV(H58,"Previous close",TRUE)</f>
        <v>1.0324</v>
      </c>
      <c r="J58" s="164">
        <v>1.0351999999999999</v>
      </c>
      <c r="K58" s="40">
        <f t="shared" si="37"/>
        <v>-2.704791344667612E-3</v>
      </c>
      <c r="L58" s="155">
        <f t="shared" ref="L58:L65" si="38">SUMIF($H$5:$H$51,G58,$O$5:$O$51)/$E$59</f>
        <v>0.49196456583675863</v>
      </c>
      <c r="N58" s="165" t="s">
        <v>60</v>
      </c>
      <c r="O58" s="157" t="e" vm="46">
        <v>#VALUE!</v>
      </c>
      <c r="P58" s="158" cm="1">
        <f t="array" ref="P58">_FV(O58,"Previous close",TRUE)</f>
        <v>14266.38</v>
      </c>
      <c r="Q58" s="159">
        <v>14224.86</v>
      </c>
      <c r="R58" s="160">
        <f>P58/Q58-1</f>
        <v>2.9188336475718391E-3</v>
      </c>
      <c r="Y58" s="166"/>
    </row>
    <row r="59" spans="2:30" x14ac:dyDescent="0.25">
      <c r="D59" s="161" t="s">
        <v>61</v>
      </c>
      <c r="E59" s="162">
        <f>E58+E57</f>
        <v>53680.475660774107</v>
      </c>
      <c r="G59" s="163" t="str" cm="1">
        <f t="array" ref="G59">_FV(H59,"currency")</f>
        <v>GBP</v>
      </c>
      <c r="H59" s="163" t="e" vm="47">
        <v>#VALUE!</v>
      </c>
      <c r="I59" s="167" cm="1">
        <f t="array" ref="I59">_FV(H59,"Previous close",TRUE)</f>
        <v>0.86809999999999998</v>
      </c>
      <c r="J59" s="167">
        <v>0.87439999999999996</v>
      </c>
      <c r="K59" s="40">
        <f t="shared" si="37"/>
        <v>-7.2049405306495728E-3</v>
      </c>
      <c r="L59" s="155">
        <f t="shared" si="38"/>
        <v>4.3300959100762336E-2</v>
      </c>
      <c r="M59" s="156"/>
      <c r="O59" s="157" t="e" vm="48">
        <v>#VALUE!</v>
      </c>
      <c r="P59" s="168" cm="1">
        <f t="array" ref="P59">_FV(O59,"Previous close",TRUE)</f>
        <v>125.3442</v>
      </c>
      <c r="Q59" s="169">
        <v>122.4478</v>
      </c>
      <c r="R59" s="170">
        <f>P59/Q59-1</f>
        <v>2.3654161201752899E-2</v>
      </c>
    </row>
    <row r="60" spans="2:30" x14ac:dyDescent="0.25">
      <c r="D60" s="161"/>
      <c r="E60" s="171"/>
      <c r="G60" s="163" t="str" cm="1">
        <f t="array" ref="G60">_FV(H60,"currency")</f>
        <v>CHF</v>
      </c>
      <c r="H60" s="163" t="e" vm="49">
        <v>#VALUE!</v>
      </c>
      <c r="I60" s="172" cm="1">
        <f t="array" ref="I60">_FV(H60,"Previous close",TRUE)</f>
        <v>0.98550000000000004</v>
      </c>
      <c r="J60" s="172">
        <v>0.9748</v>
      </c>
      <c r="K60" s="40">
        <f t="shared" si="37"/>
        <v>1.0976610586787006E-2</v>
      </c>
      <c r="L60" s="155">
        <f t="shared" si="38"/>
        <v>0</v>
      </c>
      <c r="M60" s="156"/>
    </row>
    <row r="61" spans="2:30" x14ac:dyDescent="0.25">
      <c r="D61" s="161" t="s">
        <v>62</v>
      </c>
      <c r="E61" s="173">
        <f>[1]Participants!D65</f>
        <v>4768</v>
      </c>
      <c r="G61" s="163" t="str" cm="1">
        <f t="array" ref="G61">_FV(H61,"currency")</f>
        <v>NOK</v>
      </c>
      <c r="H61" s="163" t="e" vm="50">
        <v>#VALUE!</v>
      </c>
      <c r="I61" s="174" cm="1">
        <f t="array" ref="I61">_FV(H61,"Previous close",TRUE)</f>
        <v>10.512600000000001</v>
      </c>
      <c r="J61" s="174">
        <v>10.2836</v>
      </c>
      <c r="K61" s="40">
        <f t="shared" si="37"/>
        <v>2.2268466295849887E-2</v>
      </c>
      <c r="L61" s="155">
        <f t="shared" si="38"/>
        <v>0</v>
      </c>
      <c r="M61" s="156"/>
    </row>
    <row r="62" spans="2:30" x14ac:dyDescent="0.25">
      <c r="D62" s="175" t="s">
        <v>11</v>
      </c>
      <c r="E62" s="176">
        <f>E59/E61</f>
        <v>11.258489022813361</v>
      </c>
      <c r="G62" s="163" t="str" cm="1">
        <f t="array" ref="G62">_FV(H62,"currency")</f>
        <v>SEK</v>
      </c>
      <c r="H62" s="163" t="e" vm="51">
        <v>#VALUE!</v>
      </c>
      <c r="I62" s="177" cm="1">
        <f t="array" ref="I62">_FV(H62,"Previous close",TRUE)</f>
        <v>10.9754</v>
      </c>
      <c r="J62" s="177">
        <v>10.732699999999999</v>
      </c>
      <c r="K62" s="40">
        <f t="shared" si="37"/>
        <v>2.261313555768818E-2</v>
      </c>
      <c r="L62" s="155">
        <f t="shared" si="38"/>
        <v>0</v>
      </c>
      <c r="M62" s="156"/>
    </row>
    <row r="63" spans="2:30" ht="15.95" customHeight="1" x14ac:dyDescent="0.25">
      <c r="G63" s="163" t="str" cm="1">
        <f t="array" ref="G63">_FV(H63,"currency")</f>
        <v>CAD</v>
      </c>
      <c r="H63" s="163" t="e" vm="52">
        <v>#VALUE!</v>
      </c>
      <c r="I63" s="164" cm="1">
        <f t="array" ref="I63">_FV(H63,"Previous close",TRUE)</f>
        <v>1.3817999999999999</v>
      </c>
      <c r="J63" s="164">
        <v>1.3721000000000001</v>
      </c>
      <c r="K63" s="40">
        <f t="shared" si="37"/>
        <v>7.0694555790393743E-3</v>
      </c>
      <c r="L63" s="155">
        <f t="shared" si="38"/>
        <v>9.9614858585490764E-3</v>
      </c>
      <c r="M63" s="156"/>
      <c r="AD63" s="178"/>
    </row>
    <row r="64" spans="2:30" x14ac:dyDescent="0.25">
      <c r="G64" s="179" t="str" cm="1">
        <f t="array" ref="G64">_FV(H64,"currency")</f>
        <v>DKK</v>
      </c>
      <c r="H64" s="163" t="e" vm="53">
        <v>#VALUE!</v>
      </c>
      <c r="I64" s="180" cm="1">
        <f t="array" ref="I64">_FV(H64,"Previous close",TRUE)</f>
        <v>7.4372999999999996</v>
      </c>
      <c r="J64" s="181">
        <v>7.4356999999999998</v>
      </c>
      <c r="K64" s="40">
        <f t="shared" si="37"/>
        <v>2.1517812714333395E-4</v>
      </c>
      <c r="L64" s="155">
        <f t="shared" si="38"/>
        <v>0</v>
      </c>
      <c r="M64" s="156"/>
      <c r="O64" s="182"/>
      <c r="P64" s="183"/>
    </row>
    <row r="65" spans="4:17" x14ac:dyDescent="0.25">
      <c r="E65" s="184"/>
      <c r="G65" s="179" t="str" cm="1">
        <f t="array" ref="G65">_FV(H65,"currency")</f>
        <v>HKD</v>
      </c>
      <c r="H65" s="163" t="e" vm="54">
        <v>#VALUE!</v>
      </c>
      <c r="I65" s="104" cm="1">
        <f t="array" ref="I65">_FV(H65,"Previous close",TRUE)</f>
        <v>8.0747999999999998</v>
      </c>
      <c r="J65" s="185">
        <v>8.1117000000000008</v>
      </c>
      <c r="K65" s="40">
        <f t="shared" si="37"/>
        <v>-4.5489847997338684E-3</v>
      </c>
      <c r="L65" s="155">
        <f t="shared" si="38"/>
        <v>3.0683402080395276E-2</v>
      </c>
      <c r="M65" s="156"/>
      <c r="O65" s="194"/>
      <c r="P65" s="183"/>
    </row>
    <row r="66" spans="4:17" x14ac:dyDescent="0.25">
      <c r="D66" s="186"/>
      <c r="E66" s="187" t="s">
        <v>63</v>
      </c>
      <c r="G66" s="179" t="s">
        <v>59</v>
      </c>
      <c r="H66" s="188"/>
      <c r="I66" s="189"/>
      <c r="J66" s="189"/>
      <c r="K66" s="190"/>
      <c r="L66" s="191">
        <f>O52/E59</f>
        <v>0.27104582402582283</v>
      </c>
      <c r="M66" s="156"/>
      <c r="P66" s="182"/>
      <c r="Q66" s="183"/>
    </row>
    <row r="67" spans="4:17" x14ac:dyDescent="0.25">
      <c r="L67" s="192"/>
      <c r="P67" s="182"/>
      <c r="Q67" s="183"/>
    </row>
    <row r="68" spans="4:17" x14ac:dyDescent="0.25">
      <c r="G68" s="193"/>
      <c r="P68" s="182"/>
      <c r="Q68" s="183"/>
    </row>
    <row r="69" spans="4:17" x14ac:dyDescent="0.25">
      <c r="P69" s="182"/>
      <c r="Q69" s="183"/>
    </row>
    <row r="70" spans="4:17" x14ac:dyDescent="0.25">
      <c r="G70" s="193"/>
    </row>
    <row r="73" spans="4:17" x14ac:dyDescent="0.25">
      <c r="H73" s="193"/>
    </row>
  </sheetData>
  <mergeCells count="30">
    <mergeCell ref="U23:U31"/>
    <mergeCell ref="Z41:Z50"/>
    <mergeCell ref="Z33:Z39"/>
    <mergeCell ref="B33:B39"/>
    <mergeCell ref="U33:U39"/>
    <mergeCell ref="Z23:Z31"/>
    <mergeCell ref="T41:T50"/>
    <mergeCell ref="U41:U50"/>
    <mergeCell ref="B41:B50"/>
    <mergeCell ref="B23:B31"/>
    <mergeCell ref="L3:P3"/>
    <mergeCell ref="B3:D3"/>
    <mergeCell ref="Q3:V3"/>
    <mergeCell ref="Z18:Z21"/>
    <mergeCell ref="Z11:Z16"/>
    <mergeCell ref="Z5:Z9"/>
    <mergeCell ref="B5:B9"/>
    <mergeCell ref="B11:B16"/>
    <mergeCell ref="B18:B21"/>
    <mergeCell ref="T5:T9"/>
    <mergeCell ref="U5:U9"/>
    <mergeCell ref="T11:T16"/>
    <mergeCell ref="U11:U16"/>
    <mergeCell ref="U18:U21"/>
    <mergeCell ref="D55:E55"/>
    <mergeCell ref="O55:R55"/>
    <mergeCell ref="G55:L55"/>
    <mergeCell ref="T18:T21"/>
    <mergeCell ref="T23:T31"/>
    <mergeCell ref="T33:T39"/>
  </mergeCells>
  <conditionalFormatting sqref="R11:U11 U23 U33 U41 R33:S35 S53:U53 T5:U5 R23:S25 R12:S16 R41:S50 R5:S9">
    <cfRule type="cellIs" dxfId="50" priority="50" operator="lessThanOrEqual">
      <formula>0</formula>
    </cfRule>
    <cfRule type="cellIs" dxfId="49" priority="51" operator="greaterThan">
      <formula>0</formula>
    </cfRule>
  </conditionalFormatting>
  <conditionalFormatting sqref="Q17:S17 Q16 Q41:Q52 Q22:Q39 Q5:Q13">
    <cfRule type="cellIs" dxfId="48" priority="48" operator="lessThan">
      <formula>0</formula>
    </cfRule>
    <cfRule type="cellIs" dxfId="47" priority="49" operator="greaterThan">
      <formula>0</formula>
    </cfRule>
  </conditionalFormatting>
  <conditionalFormatting sqref="T5:U5 U11 U23 U33 U41">
    <cfRule type="cellIs" dxfId="46" priority="46" operator="lessThan">
      <formula>0</formula>
    </cfRule>
    <cfRule type="cellIs" dxfId="45" priority="47" operator="greaterThan">
      <formula>0</formula>
    </cfRule>
  </conditionalFormatting>
  <conditionalFormatting sqref="T11">
    <cfRule type="cellIs" dxfId="44" priority="44" operator="lessThan">
      <formula>0</formula>
    </cfRule>
    <cfRule type="cellIs" dxfId="43" priority="45" operator="greaterThan">
      <formula>0</formula>
    </cfRule>
  </conditionalFormatting>
  <conditionalFormatting sqref="T23">
    <cfRule type="cellIs" dxfId="42" priority="40" operator="lessThan">
      <formula>0</formula>
    </cfRule>
    <cfRule type="cellIs" dxfId="41" priority="41" operator="greaterThan">
      <formula>0</formula>
    </cfRule>
  </conditionalFormatting>
  <conditionalFormatting sqref="T33">
    <cfRule type="cellIs" dxfId="40" priority="36" operator="lessThan">
      <formula>0</formula>
    </cfRule>
    <cfRule type="cellIs" dxfId="39" priority="37" operator="greaterThan">
      <formula>0</formula>
    </cfRule>
  </conditionalFormatting>
  <conditionalFormatting sqref="T23">
    <cfRule type="cellIs" dxfId="38" priority="42" operator="lessThanOrEqual">
      <formula>0</formula>
    </cfRule>
    <cfRule type="cellIs" dxfId="37" priority="43" operator="greaterThan">
      <formula>0</formula>
    </cfRule>
  </conditionalFormatting>
  <conditionalFormatting sqref="T33">
    <cfRule type="cellIs" dxfId="36" priority="38" operator="lessThanOrEqual">
      <formula>0</formula>
    </cfRule>
    <cfRule type="cellIs" dxfId="35" priority="39" operator="greaterThan">
      <formula>0</formula>
    </cfRule>
  </conditionalFormatting>
  <conditionalFormatting sqref="T41">
    <cfRule type="cellIs" dxfId="34" priority="34" operator="lessThanOrEqual">
      <formula>0</formula>
    </cfRule>
    <cfRule type="cellIs" dxfId="33" priority="35" operator="greaterThan">
      <formula>0</formula>
    </cfRule>
  </conditionalFormatting>
  <conditionalFormatting sqref="T41">
    <cfRule type="cellIs" dxfId="32" priority="32" operator="lessThan">
      <formula>0</formula>
    </cfRule>
    <cfRule type="cellIs" dxfId="31" priority="33" operator="greaterThan">
      <formula>0</formula>
    </cfRule>
  </conditionalFormatting>
  <conditionalFormatting sqref="G16:G17 G22:G39 G41:G51 G5:G13">
    <cfRule type="cellIs" dxfId="30" priority="30" operator="lessThan">
      <formula>0</formula>
    </cfRule>
    <cfRule type="cellIs" dxfId="29" priority="31" operator="greaterThan">
      <formula>0</formula>
    </cfRule>
  </conditionalFormatting>
  <conditionalFormatting sqref="R36">
    <cfRule type="cellIs" dxfId="28" priority="28" operator="lessThan">
      <formula>0</formula>
    </cfRule>
    <cfRule type="cellIs" dxfId="27" priority="29" operator="greaterThan">
      <formula>0</formula>
    </cfRule>
  </conditionalFormatting>
  <conditionalFormatting sqref="S36">
    <cfRule type="cellIs" dxfId="26" priority="26" operator="lessThanOrEqual">
      <formula>0</formula>
    </cfRule>
    <cfRule type="cellIs" dxfId="25" priority="27" operator="greaterThan">
      <formula>0</formula>
    </cfRule>
  </conditionalFormatting>
  <conditionalFormatting sqref="Q14:Q15">
    <cfRule type="cellIs" dxfId="24" priority="24" operator="lessThan">
      <formula>0</formula>
    </cfRule>
    <cfRule type="cellIs" dxfId="23" priority="25" operator="greaterThan">
      <formula>0</formula>
    </cfRule>
  </conditionalFormatting>
  <conditionalFormatting sqref="G14:G15">
    <cfRule type="cellIs" dxfId="22" priority="22" operator="lessThan">
      <formula>0</formula>
    </cfRule>
    <cfRule type="cellIs" dxfId="21" priority="23" operator="greaterThan">
      <formula>0</formula>
    </cfRule>
  </conditionalFormatting>
  <conditionalFormatting sqref="R26:S31">
    <cfRule type="cellIs" dxfId="20" priority="20" operator="lessThanOrEqual">
      <formula>0</formula>
    </cfRule>
    <cfRule type="cellIs" dxfId="19" priority="21" operator="greaterThan">
      <formula>0</formula>
    </cfRule>
  </conditionalFormatting>
  <conditionalFormatting sqref="R37:R39">
    <cfRule type="cellIs" dxfId="18" priority="18" operator="lessThan">
      <formula>0</formula>
    </cfRule>
    <cfRule type="cellIs" dxfId="17" priority="19" operator="greaterThan">
      <formula>0</formula>
    </cfRule>
  </conditionalFormatting>
  <conditionalFormatting sqref="S37:S39">
    <cfRule type="cellIs" dxfId="16" priority="16" operator="lessThanOrEqual">
      <formula>0</formula>
    </cfRule>
    <cfRule type="cellIs" dxfId="15" priority="17" operator="greaterThan">
      <formula>0</formula>
    </cfRule>
  </conditionalFormatting>
  <conditionalFormatting sqref="R18:S21">
    <cfRule type="cellIs" dxfId="14" priority="14" operator="lessThanOrEqual">
      <formula>0</formula>
    </cfRule>
    <cfRule type="cellIs" dxfId="13" priority="15" operator="greaterThan">
      <formula>0</formula>
    </cfRule>
  </conditionalFormatting>
  <conditionalFormatting sqref="Q18:Q21">
    <cfRule type="cellIs" dxfId="12" priority="12" operator="lessThan">
      <formula>0</formula>
    </cfRule>
    <cfRule type="cellIs" dxfId="11" priority="13" operator="greaterThan">
      <formula>0</formula>
    </cfRule>
  </conditionalFormatting>
  <conditionalFormatting sqref="G18:G21">
    <cfRule type="cellIs" dxfId="10" priority="10" operator="lessThan">
      <formula>0</formula>
    </cfRule>
    <cfRule type="cellIs" dxfId="9" priority="11" operator="greaterThan">
      <formula>0</formula>
    </cfRule>
  </conditionalFormatting>
  <conditionalFormatting sqref="T18:U18">
    <cfRule type="cellIs" dxfId="8" priority="8" operator="greaterThan">
      <formula>0</formula>
    </cfRule>
    <cfRule type="cellIs" dxfId="7" priority="9" operator="lessThan">
      <formula>0</formula>
    </cfRule>
  </conditionalFormatting>
  <conditionalFormatting sqref="Y53:Z53">
    <cfRule type="cellIs" dxfId="6" priority="7" operator="equal">
      <formula>1</formula>
    </cfRule>
  </conditionalFormatting>
  <conditionalFormatting sqref="K57:K65">
    <cfRule type="cellIs" dxfId="5" priority="6" operator="greaterThan">
      <formula>0</formula>
    </cfRule>
  </conditionalFormatting>
  <conditionalFormatting sqref="K57:K65">
    <cfRule type="cellIs" dxfId="4" priority="5" operator="lessThan">
      <formula>0</formula>
    </cfRule>
  </conditionalFormatting>
  <conditionalFormatting sqref="K57:K65">
    <cfRule type="cellIs" dxfId="3" priority="4" operator="equal">
      <formula>0</formula>
    </cfRule>
  </conditionalFormatting>
  <conditionalFormatting sqref="R57:R59">
    <cfRule type="cellIs" dxfId="2" priority="3" operator="greaterThan">
      <formula>0</formula>
    </cfRule>
  </conditionalFormatting>
  <conditionalFormatting sqref="R57:R59">
    <cfRule type="cellIs" dxfId="1" priority="2" operator="lessThan">
      <formula>0</formula>
    </cfRule>
  </conditionalFormatting>
  <conditionalFormatting sqref="R57:R59">
    <cfRule type="cellIs" dxfId="0" priority="1" operator="equal">
      <formula>0</formula>
    </cfRule>
  </conditionalFormatting>
  <pageMargins left="0.7" right="0.7" top="0.75" bottom="0.75" header="0.3" footer="0.3"/>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Portfolio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Emery Karambiri</cp:lastModifiedBy>
  <dcterms:created xsi:type="dcterms:W3CDTF">2022-11-11T15:39:10Z</dcterms:created>
  <dcterms:modified xsi:type="dcterms:W3CDTF">2022-11-24T11:02:53Z</dcterms:modified>
</cp:coreProperties>
</file>