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 sheetId="1" r:id="rId1"/>
    <sheet name="Returns" sheetId="2" r:id="rId2"/>
    <sheet name="Portfolios" sheetId="3" r:id="rId3"/>
    <sheet name="Absdev" sheetId="4" r:id="rId4"/>
    <sheet name="CumRet" sheetId="5" r:id="rId5"/>
    <sheet name="Drawdown" sheetId="6" r:id="rId6"/>
    <sheet name="devBelowTarget" sheetId="7" r:id="rId7"/>
    <sheet name="devBelowMean" sheetId="8" r:id="rId8"/>
  </sheets>
  <calcPr calcId="124519" fullCalcOnLoad="1"/>
</workbook>
</file>

<file path=xl/sharedStrings.xml><?xml version="1.0" encoding="utf-8"?>
<sst xmlns="http://schemas.openxmlformats.org/spreadsheetml/2006/main" count="49" uniqueCount="34">
  <si>
    <t>FIDU</t>
  </si>
  <si>
    <t>Date</t>
  </si>
  <si>
    <t>Profitability and Other Inputs</t>
  </si>
  <si>
    <t>Total Days in DataBase</t>
  </si>
  <si>
    <t>Mean Return (1)</t>
  </si>
  <si>
    <t>Compound Annual Growth Rate (CAGR)</t>
  </si>
  <si>
    <t>Minimum Acceptable Return (MAR) (1)</t>
  </si>
  <si>
    <t>Alpha</t>
  </si>
  <si>
    <t>Risk Measures based on Returns</t>
  </si>
  <si>
    <t>Standard Deviation (2)</t>
  </si>
  <si>
    <t>Mean Absolute Deviation (MAD) (2)</t>
  </si>
  <si>
    <t>Semi Standard Deviation (2)</t>
  </si>
  <si>
    <t>First Lower Partial Moment (FLPM) (2)</t>
  </si>
  <si>
    <t>Second Lower Partial Moment (SLPM) (2)</t>
  </si>
  <si>
    <t>Value at Risk (VaR) (2)</t>
  </si>
  <si>
    <t>Conditional Value at Risk (CVaR) (2)</t>
  </si>
  <si>
    <t>Entropic Value at Risk (EVaR) (2)</t>
  </si>
  <si>
    <t>Worst Realization (2)</t>
  </si>
  <si>
    <t>Skewness</t>
  </si>
  <si>
    <t>Kurtosis</t>
  </si>
  <si>
    <t>Risk Measures based on Drawdowns (3)</t>
  </si>
  <si>
    <t>Ulcer Index (UCI)</t>
  </si>
  <si>
    <t>Average Drawdown (ADD)</t>
  </si>
  <si>
    <t>Drawdown at Risk (DaR)</t>
  </si>
  <si>
    <t>Conditional Drawdown at Risk (CDaR)</t>
  </si>
  <si>
    <t>Entropic Drawdown at Risk (CDaR)</t>
  </si>
  <si>
    <t>Max Drawdown (MDD)</t>
  </si>
  <si>
    <t>Portfolio 1</t>
  </si>
  <si>
    <t>Copyright (c) 2020-2023, Dany Cajas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Riskfolio-Lib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</si>
  <si>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https://github.com/dcajasn/Riskfolio-Lib</t>
  </si>
  <si>
    <t>(1) Annualized, multiplied by 252</t>
  </si>
  <si>
    <t>(2) Annualized, multiplied by √252</t>
  </si>
  <si>
    <t>(3) Based on uncompounded cumulated returns</t>
  </si>
  <si>
    <t>Riskfolio-Lib Report</t>
  </si>
</sst>
</file>

<file path=xl/styles.xml><?xml version="1.0" encoding="utf-8"?>
<styleSheet xmlns="http://schemas.openxmlformats.org/spreadsheetml/2006/main">
  <numFmts count="4">
    <numFmt numFmtId="164" formatCode="0.0000%"/>
    <numFmt numFmtId="165" formatCode="0,000"/>
    <numFmt numFmtId="166" formatCode="0.0000"/>
    <numFmt numFmtId="167" formatCode="yyyy-mm-dd"/>
  </numFmts>
  <fonts count="4">
    <font>
      <sz val="11"/>
      <color theme="1"/>
      <name val="Calibri"/>
      <family val="2"/>
      <scheme val="minor"/>
    </font>
    <font>
      <b/>
      <sz val="28"/>
      <color theme="1"/>
      <name val="Calibri"/>
      <family val="2"/>
      <scheme val="minor"/>
    </font>
    <font>
      <u/>
      <sz val="11"/>
      <color theme="10"/>
      <name val="Calibri"/>
      <family val="2"/>
    </font>
    <font>
      <b/>
      <sz val="11"/>
      <color theme="1"/>
      <name val="Calibri"/>
      <family val="2"/>
      <scheme val="minor"/>
    </font>
  </fonts>
  <fills count="2">
    <fill>
      <patternFill patternType="none"/>
    </fill>
    <fill>
      <patternFill patternType="gray125"/>
    </fill>
  </fills>
  <borders count="4">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2">
    <xf numFmtId="0" fontId="0" fillId="0" borderId="0" xfId="0"/>
    <xf numFmtId="164" fontId="0" fillId="0" borderId="0" xfId="0" applyNumberFormat="1"/>
    <xf numFmtId="0" fontId="1" fillId="0" borderId="1" xfId="0" applyFont="1" applyBorder="1"/>
    <xf numFmtId="0" fontId="0" fillId="0" borderId="0" xfId="0" applyAlignment="1">
      <alignment horizontal="left" vertical="justify" wrapText="1"/>
    </xf>
    <xf numFmtId="0" fontId="2" fillId="0" borderId="0" xfId="1" applyAlignment="1" applyProtection="1"/>
    <xf numFmtId="0" fontId="3" fillId="0" borderId="2" xfId="0" applyFont="1" applyBorder="1"/>
    <xf numFmtId="165" fontId="0" fillId="0" borderId="2" xfId="0" applyNumberFormat="1" applyBorder="1"/>
    <xf numFmtId="164" fontId="0" fillId="0" borderId="2" xfId="0" applyNumberFormat="1" applyBorder="1"/>
    <xf numFmtId="166" fontId="0" fillId="0" borderId="2" xfId="0" applyNumberFormat="1" applyBorder="1"/>
    <xf numFmtId="0" fontId="3" fillId="0" borderId="3" xfId="0" applyFont="1" applyBorder="1" applyAlignment="1">
      <alignment horizontal="center" vertical="top"/>
    </xf>
    <xf numFmtId="167" fontId="3" fillId="0" borderId="0" xfId="0" applyNumberFormat="1" applyFont="1"/>
    <xf numFmtId="167" fontId="3" fillId="0" borderId="2" xfId="0" applyNumberFormat="1" applyFont="1" applyBorder="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dcajasn/Riskfolio-Lib" TargetMode="External"/></Relationships>
</file>

<file path=xl/worksheets/sheet1.xml><?xml version="1.0" encoding="utf-8"?>
<worksheet xmlns="http://schemas.openxmlformats.org/spreadsheetml/2006/main" xmlns:r="http://schemas.openxmlformats.org/officeDocument/2006/relationships">
  <dimension ref="A1:IR38"/>
  <sheetViews>
    <sheetView showGridLines="0" tabSelected="1" workbookViewId="0"/>
  </sheetViews>
  <sheetFormatPr defaultRowHeight="15"/>
  <cols>
    <col min="1" max="1" width="36.7109375" customWidth="1"/>
    <col min="2" max="252" width="11.7109375" style="1" customWidth="1"/>
  </cols>
  <sheetData>
    <row r="1" spans="1:11">
      <c r="A1" s="2" t="s">
        <v>33</v>
      </c>
    </row>
    <row r="2" spans="1:11" ht="215" customHeight="1">
      <c r="A2" s="3" t="s">
        <v>28</v>
      </c>
      <c r="B2" s="3"/>
      <c r="C2" s="3"/>
      <c r="D2" s="3"/>
      <c r="E2" s="3"/>
      <c r="F2" s="3"/>
      <c r="G2" s="3"/>
      <c r="H2" s="3"/>
      <c r="I2" s="3"/>
      <c r="J2" s="3"/>
      <c r="K2" s="3"/>
    </row>
    <row r="3" spans="1:11">
      <c r="A3" s="4" t="s">
        <v>29</v>
      </c>
    </row>
    <row r="4" spans="1:11">
      <c r="B4" s="5" t="s">
        <v>27</v>
      </c>
    </row>
    <row r="5" spans="1:11">
      <c r="A5" s="5" t="s">
        <v>2</v>
      </c>
    </row>
    <row r="6" spans="1:11">
      <c r="A6" s="5" t="s">
        <v>3</v>
      </c>
      <c r="B6" s="6">
        <f>365</f>
        <v>0</v>
      </c>
    </row>
    <row r="7" spans="1:11">
      <c r="A7" s="5" t="s">
        <v>4</v>
      </c>
      <c r="B7" s="7">
        <f>AVERAGE(Portfolios!$B$2:$B$252) * 252</f>
        <v>0</v>
      </c>
    </row>
    <row r="8" spans="1:11">
      <c r="A8" s="5" t="s">
        <v>5</v>
      </c>
      <c r="B8" s="7">
        <f t="array" ref="B8">PRODUCT(1 + Portfolios!$B$2:$B$252)^(252/365)-1</f>
        <v>0</v>
      </c>
    </row>
    <row r="9" spans="1:11">
      <c r="A9" s="5" t="s">
        <v>6</v>
      </c>
      <c r="B9" s="7">
        <f>0.00015873015873015873</f>
        <v>0</v>
      </c>
    </row>
    <row r="10" spans="1:11">
      <c r="A10" s="5" t="s">
        <v>7</v>
      </c>
      <c r="B10" s="7">
        <f>0.05</f>
        <v>0</v>
      </c>
    </row>
    <row r="12" spans="1:11">
      <c r="A12" s="5" t="s">
        <v>8</v>
      </c>
    </row>
    <row r="13" spans="1:11">
      <c r="A13" s="5" t="s">
        <v>9</v>
      </c>
      <c r="B13" s="7">
        <f>STDEV(Portfolios!$B$2:$B$252) * SQRT(252)</f>
        <v>0</v>
      </c>
    </row>
    <row r="14" spans="1:11">
      <c r="A14" s="5" t="s">
        <v>10</v>
      </c>
      <c r="B14" s="7">
        <f>AVERAGE(Absdev!$B$2:$B$252) * SQRT(252)</f>
        <v>0</v>
      </c>
    </row>
    <row r="15" spans="1:11">
      <c r="A15" s="5" t="s">
        <v>11</v>
      </c>
      <c r="B15" s="7">
        <f>SQRT(SUMSQ(devBelowMean!$B$2:$B$252)/(COUNT(devBelowMean!$B$2:$B$252) - 1)) * SQRT(252)</f>
        <v>0</v>
      </c>
    </row>
    <row r="16" spans="1:11">
      <c r="A16" s="5" t="s">
        <v>12</v>
      </c>
      <c r="B16" s="7">
        <f>AVERAGE(devBelowTarget!$B$2:$B$252) * SQRT(252)</f>
        <v>0</v>
      </c>
    </row>
    <row r="17" spans="1:2">
      <c r="A17" s="5" t="s">
        <v>13</v>
      </c>
      <c r="B17" s="7">
        <f>SQRT(SUMSQ(devBelowTarget!$B$2:$B$252)/(COUNT(devBelowTarget!$B$2:$B$252) - 1)) * SQRT(252)</f>
        <v>0</v>
      </c>
    </row>
    <row r="18" spans="1:2">
      <c r="A18" s="5" t="s">
        <v>14</v>
      </c>
      <c r="B18" s="7">
        <f>-SMALL(Portfolios!$B$2:$B$252,ROUNDUP(COUNT(Portfolios!$B$2:$B$252)*B10,0)) * SQRT(252)</f>
        <v>0</v>
      </c>
    </row>
    <row r="19" spans="1:2">
      <c r="A19" s="5" t="s">
        <v>15</v>
      </c>
      <c r="B19" s="7">
        <f>-((SUMIF(Portfolios!$B$2:$B$252,"&lt;="&amp;(-B18/SQRT(252)),Portfolios!$B$2:$B$252)-ROUNDUP(COUNT(Portfolios!$B$2:$B$252)*B10,0)*(-B18/SQRT(252)))/(COUNT(Portfolios!$B$2:$B$252)*B10)-B18/SQRT(252)) * SQRT(252)</f>
        <v>0</v>
      </c>
    </row>
    <row r="20" spans="1:2">
      <c r="A20" s="5" t="s">
        <v>16</v>
      </c>
      <c r="B20" s="7">
        <f>0.0206105660852088 * SQRT(252)</f>
        <v>0</v>
      </c>
    </row>
    <row r="21" spans="1:2">
      <c r="A21" s="5" t="s">
        <v>17</v>
      </c>
      <c r="B21" s="7">
        <f>-MIN(Portfolios!$B$2:$B$252) * SQRT(252)</f>
        <v>0</v>
      </c>
    </row>
    <row r="22" spans="1:2">
      <c r="A22" s="5" t="s">
        <v>18</v>
      </c>
      <c r="B22" s="8">
        <f>SKEW(Portfolios!$B$2:$B$252)</f>
        <v>0</v>
      </c>
    </row>
    <row r="23" spans="1:2">
      <c r="A23" s="5" t="s">
        <v>19</v>
      </c>
      <c r="B23" s="8">
        <f>KURT(Portfolios!$B$2:$B$252)</f>
        <v>0</v>
      </c>
    </row>
    <row r="25" spans="1:2">
      <c r="A25" s="5" t="s">
        <v>20</v>
      </c>
    </row>
    <row r="26" spans="1:2">
      <c r="A26" s="5" t="s">
        <v>21</v>
      </c>
      <c r="B26" s="7">
        <f>SQRT(SUMSQ(Drawdown!$B$2:$B$252)/COUNT(Drawdown!$B$2:$B$252))</f>
        <v>0</v>
      </c>
    </row>
    <row r="27" spans="1:2">
      <c r="A27" s="5" t="s">
        <v>22</v>
      </c>
      <c r="B27" s="7">
        <f>AVERAGE(Drawdown!$B$2:$B$252)</f>
        <v>0</v>
      </c>
    </row>
    <row r="28" spans="1:2">
      <c r="A28" s="5" t="s">
        <v>23</v>
      </c>
      <c r="B28" s="7">
        <f>+LARGE(Drawdown!$B$2:$B$252,ROUNDUP(COUNT(Drawdown!$B$2:$B$252)*B10,0))</f>
        <v>0</v>
      </c>
    </row>
    <row r="29" spans="1:2">
      <c r="A29" s="5" t="s">
        <v>24</v>
      </c>
      <c r="B29" s="7">
        <f>((SUMIF(Drawdown!$B$2:$B$252,"&gt;="&amp;LARGE(Drawdown!$B$2:$B$252,ROUNDUP(COUNT(Drawdown!$B$2:$B$252)*B10,0)),Drawdown!$B$2:$B$252)-ROUNDUP(COUNT(Drawdown!$B$2:$B$252)*B10,0)*LARGE(Drawdown!$B$2:$B$252,ROUNDUP(COUNT(Drawdown!$B$2:$B$252)*B10,0)))/(COUNT(Drawdown!$B$2:$B$252)*B10)+LARGE(Drawdown!$B$2:$B$252,ROUNDUP(COUNT(Drawdown!$B$2:$B$252)*B10,0)))</f>
        <v>0</v>
      </c>
    </row>
    <row r="30" spans="1:2">
      <c r="A30" s="5" t="s">
        <v>25</v>
      </c>
      <c r="B30" s="7">
        <f>0.056312122409362675</f>
        <v>0</v>
      </c>
    </row>
    <row r="31" spans="1:2">
      <c r="A31" s="5" t="s">
        <v>26</v>
      </c>
      <c r="B31" s="7">
        <f>MAX(Drawdown!$B$2:$B$252)</f>
        <v>0</v>
      </c>
    </row>
    <row r="32" spans="1:2">
      <c r="A32" t="s">
        <v>30</v>
      </c>
    </row>
    <row r="33" spans="1:2">
      <c r="A33" t="s">
        <v>31</v>
      </c>
    </row>
    <row r="34" spans="1:2">
      <c r="A34" t="s">
        <v>32</v>
      </c>
    </row>
    <row r="37" spans="1:2">
      <c r="B37" s="5" t="s">
        <v>27</v>
      </c>
    </row>
    <row r="38" spans="1:2">
      <c r="A38" s="9" t="s">
        <v>0</v>
      </c>
      <c r="B38" s="1">
        <v>1</v>
      </c>
    </row>
  </sheetData>
  <mergeCells count="1">
    <mergeCell ref="A2:K2"/>
  </mergeCells>
  <hyperlinks>
    <hyperlink ref="A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R252"/>
  <sheetViews>
    <sheetView showGridLines="0" workbookViewId="0"/>
  </sheetViews>
  <sheetFormatPr defaultRowHeight="15"/>
  <cols>
    <col min="1" max="1" width="10.7109375" style="10" customWidth="1"/>
    <col min="2" max="252" width="9.7109375" style="1" customWidth="1"/>
  </cols>
  <sheetData>
    <row r="1" spans="1:2">
      <c r="A1" s="5" t="s">
        <v>1</v>
      </c>
      <c r="B1" s="9" t="s">
        <v>0</v>
      </c>
    </row>
    <row r="2" spans="1:2">
      <c r="A2" s="11">
        <v>45239</v>
      </c>
      <c r="B2" s="1">
        <v>-0.001115553308513428</v>
      </c>
    </row>
    <row r="3" spans="1:2">
      <c r="A3" s="11">
        <v>45240</v>
      </c>
      <c r="B3" s="1">
        <v>0.01433095321181788</v>
      </c>
    </row>
    <row r="4" spans="1:2">
      <c r="A4" s="11">
        <v>45243</v>
      </c>
      <c r="B4" s="1">
        <v>0.0007339423097230124</v>
      </c>
    </row>
    <row r="5" spans="1:2">
      <c r="A5" s="11">
        <v>45244</v>
      </c>
      <c r="B5" s="1">
        <v>0.0254858436338683</v>
      </c>
    </row>
    <row r="6" spans="1:2">
      <c r="A6" s="11">
        <v>45245</v>
      </c>
      <c r="B6" s="1">
        <v>0.001609165947167535</v>
      </c>
    </row>
    <row r="7" spans="1:2">
      <c r="A7" s="11">
        <v>45246</v>
      </c>
      <c r="B7" s="1">
        <v>-0.001606580692226189</v>
      </c>
    </row>
    <row r="8" spans="1:2">
      <c r="A8" s="11">
        <v>45247</v>
      </c>
      <c r="B8" s="1">
        <v>0.006615405932028251</v>
      </c>
    </row>
    <row r="9" spans="1:2">
      <c r="A9" s="11">
        <v>45250</v>
      </c>
      <c r="B9" s="1">
        <v>0.003019613780063768</v>
      </c>
    </row>
    <row r="10" spans="1:2">
      <c r="A10" s="11">
        <v>45251</v>
      </c>
      <c r="B10" s="1">
        <v>-0.001416745135640829</v>
      </c>
    </row>
    <row r="11" spans="1:2">
      <c r="A11" s="11">
        <v>45252</v>
      </c>
      <c r="B11" s="1">
        <v>0.003014725402785023</v>
      </c>
    </row>
    <row r="12" spans="1:2">
      <c r="A12" s="11">
        <v>45254</v>
      </c>
      <c r="B12" s="1">
        <v>0.003182552848334241</v>
      </c>
    </row>
    <row r="13" spans="1:2">
      <c r="A13" s="11">
        <v>45257</v>
      </c>
      <c r="B13" s="1">
        <v>-0.00475858171266319</v>
      </c>
    </row>
    <row r="14" spans="1:2">
      <c r="A14" s="11">
        <v>45258</v>
      </c>
      <c r="B14" s="1">
        <v>-0.004250097691721133</v>
      </c>
    </row>
    <row r="15" spans="1:2">
      <c r="A15" s="11">
        <v>45259</v>
      </c>
      <c r="B15" s="1">
        <v>0.00391252279752119</v>
      </c>
    </row>
    <row r="16" spans="1:2">
      <c r="A16" s="11">
        <v>45260</v>
      </c>
      <c r="B16" s="1">
        <v>0.0102745078536155</v>
      </c>
    </row>
    <row r="17" spans="1:2">
      <c r="A17" s="11">
        <v>45261</v>
      </c>
      <c r="B17" s="1">
        <v>0.01876210817644441</v>
      </c>
    </row>
    <row r="18" spans="1:2">
      <c r="A18" s="11">
        <v>45264</v>
      </c>
      <c r="B18" s="1">
        <v>0.003442328466332967</v>
      </c>
    </row>
    <row r="19" spans="1:2">
      <c r="A19" s="11">
        <v>45265</v>
      </c>
      <c r="B19" s="1">
        <v>-0.009433911927389738</v>
      </c>
    </row>
    <row r="20" spans="1:2">
      <c r="A20" s="11">
        <v>45266</v>
      </c>
      <c r="B20" s="1">
        <v>0.003290014550317188</v>
      </c>
    </row>
    <row r="21" spans="1:2">
      <c r="A21" s="11">
        <v>45267</v>
      </c>
      <c r="B21" s="1">
        <v>0.002243709101534597</v>
      </c>
    </row>
    <row r="22" spans="1:2">
      <c r="A22" s="11">
        <v>45268</v>
      </c>
      <c r="B22" s="1">
        <v>0.003788483967611</v>
      </c>
    </row>
    <row r="23" spans="1:2">
      <c r="A23" s="11">
        <v>45271</v>
      </c>
      <c r="B23" s="1">
        <v>0.00977874139204471</v>
      </c>
    </row>
    <row r="24" spans="1:2">
      <c r="A24" s="11">
        <v>45272</v>
      </c>
      <c r="B24" s="1">
        <v>0.003058125996085792</v>
      </c>
    </row>
    <row r="25" spans="1:2">
      <c r="A25" s="11">
        <v>45273</v>
      </c>
      <c r="B25" s="1">
        <v>0.01371947896381021</v>
      </c>
    </row>
    <row r="26" spans="1:2">
      <c r="A26" s="11">
        <v>45274</v>
      </c>
      <c r="B26" s="1">
        <v>0.01487053744031219</v>
      </c>
    </row>
    <row r="27" spans="1:2">
      <c r="A27" s="11">
        <v>45275</v>
      </c>
      <c r="B27" s="1">
        <v>-0.002530461499381631</v>
      </c>
    </row>
    <row r="28" spans="1:2">
      <c r="A28" s="11">
        <v>45278</v>
      </c>
      <c r="B28" s="1">
        <v>-0.0001659035956989019</v>
      </c>
    </row>
    <row r="29" spans="1:2">
      <c r="A29" s="11">
        <v>45279</v>
      </c>
      <c r="B29" s="1">
        <v>0.01011614986128873</v>
      </c>
    </row>
    <row r="30" spans="1:2">
      <c r="A30" s="11">
        <v>45280</v>
      </c>
      <c r="B30" s="1">
        <v>-0.01707441687557787</v>
      </c>
    </row>
    <row r="31" spans="1:2">
      <c r="A31" s="11">
        <v>45281</v>
      </c>
      <c r="B31" s="1">
        <v>0.01252716878136906</v>
      </c>
    </row>
    <row r="32" spans="1:2">
      <c r="A32" s="11">
        <v>45282</v>
      </c>
      <c r="B32" s="1">
        <v>0.00412401756238423</v>
      </c>
    </row>
    <row r="33" spans="1:2">
      <c r="A33" s="11">
        <v>45286</v>
      </c>
      <c r="B33" s="1">
        <v>0.007392781960337658</v>
      </c>
    </row>
    <row r="34" spans="1:2">
      <c r="A34" s="11">
        <v>45287</v>
      </c>
      <c r="B34" s="1">
        <v>0.002283131828170637</v>
      </c>
    </row>
    <row r="35" spans="1:2">
      <c r="A35" s="11">
        <v>45288</v>
      </c>
      <c r="B35" s="1">
        <v>-0.0004880830892498578</v>
      </c>
    </row>
    <row r="36" spans="1:2">
      <c r="A36" s="11">
        <v>45289</v>
      </c>
      <c r="B36" s="1">
        <v>-0.003255749244488015</v>
      </c>
    </row>
    <row r="37" spans="1:2">
      <c r="A37" s="11">
        <v>45293</v>
      </c>
      <c r="B37" s="1">
        <v>-0.01045228899408013</v>
      </c>
    </row>
    <row r="38" spans="1:2">
      <c r="A38" s="11">
        <v>45294</v>
      </c>
      <c r="B38" s="1">
        <v>-0.01683451007488468</v>
      </c>
    </row>
    <row r="39" spans="1:2">
      <c r="A39" s="11">
        <v>45295</v>
      </c>
      <c r="B39" s="1">
        <v>-0.0001678995326622745</v>
      </c>
    </row>
    <row r="40" spans="1:2">
      <c r="A40" s="11">
        <v>45296</v>
      </c>
      <c r="B40" s="1">
        <v>0.0008394436757144241</v>
      </c>
    </row>
    <row r="41" spans="1:2">
      <c r="A41" s="11">
        <v>45299</v>
      </c>
      <c r="B41" s="1">
        <v>0.006542584459493517</v>
      </c>
    </row>
    <row r="42" spans="1:2">
      <c r="A42" s="11">
        <v>45300</v>
      </c>
      <c r="B42" s="1">
        <v>-0.003166648259546601</v>
      </c>
    </row>
    <row r="43" spans="1:2">
      <c r="A43" s="11">
        <v>45301</v>
      </c>
      <c r="B43" s="1">
        <v>0.004848577490229378</v>
      </c>
    </row>
    <row r="44" spans="1:2">
      <c r="A44" s="11">
        <v>45302</v>
      </c>
      <c r="B44" s="1">
        <v>-0.001497512539703205</v>
      </c>
    </row>
    <row r="45" spans="1:2">
      <c r="A45" s="11">
        <v>45303</v>
      </c>
      <c r="B45" s="1">
        <v>0.0003333369883442572</v>
      </c>
    </row>
    <row r="46" spans="1:2">
      <c r="A46" s="11">
        <v>45307</v>
      </c>
      <c r="B46" s="1">
        <v>-0.009828423473908554</v>
      </c>
    </row>
    <row r="47" spans="1:2">
      <c r="A47" s="11">
        <v>45308</v>
      </c>
      <c r="B47" s="1">
        <v>-0.006224697717309158</v>
      </c>
    </row>
    <row r="48" spans="1:2">
      <c r="A48" s="11">
        <v>45309</v>
      </c>
      <c r="B48" s="1">
        <v>0.01201954343820266</v>
      </c>
    </row>
    <row r="49" spans="1:2">
      <c r="A49" s="11">
        <v>45310</v>
      </c>
      <c r="B49" s="1">
        <v>0.007360333438463096</v>
      </c>
    </row>
    <row r="50" spans="1:2">
      <c r="A50" s="11">
        <v>45313</v>
      </c>
      <c r="B50" s="1">
        <v>0.009797478288619654</v>
      </c>
    </row>
    <row r="51" spans="1:2">
      <c r="A51" s="11">
        <v>45314</v>
      </c>
      <c r="B51" s="1">
        <v>-0.002302279715209798</v>
      </c>
    </row>
    <row r="52" spans="1:2">
      <c r="A52" s="11">
        <v>45315</v>
      </c>
      <c r="B52" s="1">
        <v>-0.007252296666942049</v>
      </c>
    </row>
    <row r="53" spans="1:2">
      <c r="A53" s="11">
        <v>45316</v>
      </c>
      <c r="B53" s="1">
        <v>0.00913161194215939</v>
      </c>
    </row>
    <row r="54" spans="1:2">
      <c r="A54" s="11">
        <v>45317</v>
      </c>
      <c r="B54" s="1">
        <v>-0.0004935436844112351</v>
      </c>
    </row>
    <row r="55" spans="1:2">
      <c r="A55" s="11">
        <v>45320</v>
      </c>
      <c r="B55" s="1">
        <v>0.008394959061521101</v>
      </c>
    </row>
    <row r="56" spans="1:2">
      <c r="A56" s="11">
        <v>45321</v>
      </c>
      <c r="B56" s="1">
        <v>0.0003265352956032253</v>
      </c>
    </row>
    <row r="57" spans="1:2">
      <c r="A57" s="11">
        <v>45322</v>
      </c>
      <c r="B57" s="1">
        <v>-0.01207571453178102</v>
      </c>
    </row>
    <row r="58" spans="1:2">
      <c r="A58" s="11">
        <v>45323</v>
      </c>
      <c r="B58" s="1">
        <v>0.01833491584391789</v>
      </c>
    </row>
    <row r="59" spans="1:2">
      <c r="A59" s="11">
        <v>45324</v>
      </c>
      <c r="B59" s="1">
        <v>0.006001746284468146</v>
      </c>
    </row>
    <row r="60" spans="1:2">
      <c r="A60" s="11">
        <v>45327</v>
      </c>
      <c r="B60" s="1">
        <v>-0.008223240361867057</v>
      </c>
    </row>
    <row r="61" spans="1:2">
      <c r="A61" s="11">
        <v>45328</v>
      </c>
      <c r="B61" s="1">
        <v>0.009266858309564752</v>
      </c>
    </row>
    <row r="62" spans="1:2">
      <c r="A62" s="11">
        <v>45329</v>
      </c>
      <c r="B62" s="1">
        <v>0.00660443148960721</v>
      </c>
    </row>
    <row r="63" spans="1:2">
      <c r="A63" s="11">
        <v>45330</v>
      </c>
      <c r="B63" s="1">
        <v>0.002720360572430858</v>
      </c>
    </row>
    <row r="64" spans="1:2">
      <c r="A64" s="11">
        <v>45331</v>
      </c>
      <c r="B64" s="1">
        <v>0.002872600066590625</v>
      </c>
    </row>
    <row r="65" spans="1:2">
      <c r="A65" s="11">
        <v>45334</v>
      </c>
      <c r="B65" s="1">
        <v>0.003819285686523788</v>
      </c>
    </row>
    <row r="66" spans="1:2">
      <c r="A66" s="11">
        <v>45335</v>
      </c>
      <c r="B66" s="1">
        <v>-0.01521883288921222</v>
      </c>
    </row>
    <row r="67" spans="1:2">
      <c r="A67" s="11">
        <v>45336</v>
      </c>
      <c r="B67" s="1">
        <v>0.01883455611261486</v>
      </c>
    </row>
    <row r="68" spans="1:2">
      <c r="A68" s="11">
        <v>45337</v>
      </c>
      <c r="B68" s="1">
        <v>0.008532200599184137</v>
      </c>
    </row>
    <row r="69" spans="1:2">
      <c r="A69" s="11">
        <v>45338</v>
      </c>
      <c r="B69" s="1">
        <v>-0.005796766610604909</v>
      </c>
    </row>
    <row r="70" spans="1:2">
      <c r="A70" s="11">
        <v>45342</v>
      </c>
      <c r="B70" s="1">
        <v>-0.005042527205603164</v>
      </c>
    </row>
    <row r="71" spans="1:2">
      <c r="A71" s="11">
        <v>45343</v>
      </c>
      <c r="B71" s="1">
        <v>0.003009229927591006</v>
      </c>
    </row>
    <row r="72" spans="1:2">
      <c r="A72" s="11">
        <v>45344</v>
      </c>
      <c r="B72" s="1">
        <v>0.01105322002470799</v>
      </c>
    </row>
    <row r="73" spans="1:2">
      <c r="A73" s="11">
        <v>45345</v>
      </c>
      <c r="B73" s="1">
        <v>0.006403297221113213</v>
      </c>
    </row>
    <row r="74" spans="1:2">
      <c r="A74" s="11">
        <v>45348</v>
      </c>
      <c r="B74" s="1">
        <v>-0.0004655118488983145</v>
      </c>
    </row>
    <row r="75" spans="1:2">
      <c r="A75" s="11">
        <v>45349</v>
      </c>
      <c r="B75" s="1">
        <v>0.001707691752053764</v>
      </c>
    </row>
    <row r="76" spans="1:2">
      <c r="A76" s="11">
        <v>45350</v>
      </c>
      <c r="B76" s="1">
        <v>0.002635009833818591</v>
      </c>
    </row>
    <row r="77" spans="1:2">
      <c r="A77" s="11">
        <v>45351</v>
      </c>
      <c r="B77" s="1">
        <v>0.003246169089072382</v>
      </c>
    </row>
    <row r="78" spans="1:2">
      <c r="A78" s="11">
        <v>45352</v>
      </c>
      <c r="B78" s="1">
        <v>0.005547025666325256</v>
      </c>
    </row>
    <row r="79" spans="1:2">
      <c r="A79" s="11">
        <v>45355</v>
      </c>
      <c r="B79" s="1">
        <v>0.003217875573421791</v>
      </c>
    </row>
    <row r="80" spans="1:2">
      <c r="A80" s="11">
        <v>45356</v>
      </c>
      <c r="B80" s="1">
        <v>-0.008553516916841364</v>
      </c>
    </row>
    <row r="81" spans="1:2">
      <c r="A81" s="11">
        <v>45357</v>
      </c>
      <c r="B81" s="1">
        <v>0.006162160382898518</v>
      </c>
    </row>
    <row r="82" spans="1:2">
      <c r="A82" s="11">
        <v>45358</v>
      </c>
      <c r="B82" s="1">
        <v>0.00826842431974284</v>
      </c>
    </row>
    <row r="83" spans="1:2">
      <c r="A83" s="11">
        <v>45359</v>
      </c>
      <c r="B83" s="1">
        <v>-0.003644706106408102</v>
      </c>
    </row>
    <row r="84" spans="1:2">
      <c r="A84" s="11">
        <v>45362</v>
      </c>
      <c r="B84" s="1">
        <v>-0.005334438032746136</v>
      </c>
    </row>
    <row r="85" spans="1:2">
      <c r="A85" s="11">
        <v>45363</v>
      </c>
      <c r="B85" s="1">
        <v>0.00520990508293151</v>
      </c>
    </row>
    <row r="86" spans="1:2">
      <c r="A86" s="11">
        <v>45364</v>
      </c>
      <c r="B86" s="1">
        <v>0.003353545709613881</v>
      </c>
    </row>
    <row r="87" spans="1:2">
      <c r="A87" s="11">
        <v>45365</v>
      </c>
      <c r="B87" s="1">
        <v>-0.006684909285976204</v>
      </c>
    </row>
    <row r="88" spans="1:2">
      <c r="A88" s="11">
        <v>45366</v>
      </c>
      <c r="B88" s="1">
        <v>0.001641328806161191</v>
      </c>
    </row>
    <row r="89" spans="1:2">
      <c r="A89" s="11">
        <v>45369</v>
      </c>
      <c r="B89" s="1">
        <v>0.001684623293832788</v>
      </c>
    </row>
    <row r="90" spans="1:2">
      <c r="A90" s="11">
        <v>45370</v>
      </c>
      <c r="B90" s="1">
        <v>0.009019899078431814</v>
      </c>
    </row>
    <row r="91" spans="1:2">
      <c r="A91" s="11">
        <v>45371</v>
      </c>
      <c r="B91" s="1">
        <v>0.01272727549171404</v>
      </c>
    </row>
    <row r="92" spans="1:2">
      <c r="A92" s="11">
        <v>45372</v>
      </c>
      <c r="B92" s="1">
        <v>0.01092163366944376</v>
      </c>
    </row>
    <row r="93" spans="1:2">
      <c r="A93" s="11">
        <v>45373</v>
      </c>
      <c r="B93" s="1">
        <v>-0.004291868047305747</v>
      </c>
    </row>
    <row r="94" spans="1:2">
      <c r="A94" s="11">
        <v>45376</v>
      </c>
      <c r="B94" s="1">
        <v>-0.005647913563643359</v>
      </c>
    </row>
    <row r="95" spans="1:2">
      <c r="A95" s="11">
        <v>45377</v>
      </c>
      <c r="B95" s="1">
        <v>-0.002242251551478169</v>
      </c>
    </row>
    <row r="96" spans="1:2">
      <c r="A96" s="11">
        <v>45378</v>
      </c>
      <c r="B96" s="1">
        <v>0.01513119352140113</v>
      </c>
    </row>
    <row r="97" spans="1:2">
      <c r="A97" s="11">
        <v>45379</v>
      </c>
      <c r="B97" s="1">
        <v>0.0007377412041220666</v>
      </c>
    </row>
    <row r="98" spans="1:2">
      <c r="A98" s="11">
        <v>45383</v>
      </c>
      <c r="B98" s="1">
        <v>-0.008110878305293001</v>
      </c>
    </row>
    <row r="99" spans="1:2">
      <c r="A99" s="11">
        <v>45384</v>
      </c>
      <c r="B99" s="1">
        <v>-0.006244425951792976</v>
      </c>
    </row>
    <row r="100" spans="1:2">
      <c r="A100" s="11">
        <v>45385</v>
      </c>
      <c r="B100" s="1">
        <v>0.006134107775748188</v>
      </c>
    </row>
    <row r="101" spans="1:2">
      <c r="A101" s="11">
        <v>45386</v>
      </c>
      <c r="B101" s="1">
        <v>-0.008921868909316233</v>
      </c>
    </row>
    <row r="102" spans="1:2">
      <c r="A102" s="11">
        <v>45387</v>
      </c>
      <c r="B102" s="1">
        <v>0.01440351952457797</v>
      </c>
    </row>
    <row r="103" spans="1:2">
      <c r="A103" s="11">
        <v>45390</v>
      </c>
      <c r="B103" s="1">
        <v>-0.0007396063782429962</v>
      </c>
    </row>
    <row r="104" spans="1:2">
      <c r="A104" s="11">
        <v>45391</v>
      </c>
      <c r="B104" s="1">
        <v>-0.002072270682859867</v>
      </c>
    </row>
    <row r="105" spans="1:2">
      <c r="A105" s="11">
        <v>45392</v>
      </c>
      <c r="B105" s="1">
        <v>-0.0112723718007286</v>
      </c>
    </row>
    <row r="106" spans="1:2">
      <c r="A106" s="11">
        <v>45393</v>
      </c>
      <c r="B106" s="1">
        <v>0.001199910510437885</v>
      </c>
    </row>
    <row r="107" spans="1:2">
      <c r="A107" s="11">
        <v>45394</v>
      </c>
      <c r="B107" s="1">
        <v>-0.01213658653486938</v>
      </c>
    </row>
    <row r="108" spans="1:2">
      <c r="A108" s="11">
        <v>45397</v>
      </c>
      <c r="B108" s="1">
        <v>-0.007735562030672272</v>
      </c>
    </row>
    <row r="109" spans="1:2">
      <c r="A109" s="11">
        <v>45398</v>
      </c>
      <c r="B109" s="1">
        <v>-0.001987137939656214</v>
      </c>
    </row>
    <row r="110" spans="1:2">
      <c r="A110" s="11">
        <v>45399</v>
      </c>
      <c r="B110" s="1">
        <v>-0.008117602855088335</v>
      </c>
    </row>
    <row r="111" spans="1:2">
      <c r="A111" s="11">
        <v>45400</v>
      </c>
      <c r="B111" s="1">
        <v>-0.004632456133868201</v>
      </c>
    </row>
    <row r="112" spans="1:2">
      <c r="A112" s="11">
        <v>45401</v>
      </c>
      <c r="B112" s="1">
        <v>0.0001551977226170731</v>
      </c>
    </row>
    <row r="113" spans="1:2">
      <c r="A113" s="11">
        <v>45404</v>
      </c>
      <c r="B113" s="1">
        <v>0.006204431213177708</v>
      </c>
    </row>
    <row r="114" spans="1:2">
      <c r="A114" s="11">
        <v>45405</v>
      </c>
      <c r="B114" s="1">
        <v>0.01510705990525896</v>
      </c>
    </row>
    <row r="115" spans="1:2">
      <c r="A115" s="11">
        <v>45406</v>
      </c>
      <c r="B115" s="1">
        <v>-0.006378133400166353</v>
      </c>
    </row>
    <row r="116" spans="1:2">
      <c r="A116" s="11">
        <v>45407</v>
      </c>
      <c r="B116" s="1">
        <v>0.001834055169597004</v>
      </c>
    </row>
    <row r="117" spans="1:2">
      <c r="A117" s="11">
        <v>45408</v>
      </c>
      <c r="B117" s="1">
        <v>0.002440930092341587</v>
      </c>
    </row>
    <row r="118" spans="1:2">
      <c r="A118" s="11">
        <v>45411</v>
      </c>
      <c r="B118" s="1">
        <v>0.007152596518114951</v>
      </c>
    </row>
    <row r="119" spans="1:2">
      <c r="A119" s="11">
        <v>45412</v>
      </c>
      <c r="B119" s="1">
        <v>-0.01858572851567508</v>
      </c>
    </row>
    <row r="120" spans="1:2">
      <c r="A120" s="11">
        <v>45413</v>
      </c>
      <c r="B120" s="1">
        <v>-0.0007698966831453102</v>
      </c>
    </row>
    <row r="121" spans="1:2">
      <c r="A121" s="11">
        <v>45414</v>
      </c>
      <c r="B121" s="1">
        <v>0.006779787616926436</v>
      </c>
    </row>
    <row r="122" spans="1:2">
      <c r="A122" s="11">
        <v>45415</v>
      </c>
      <c r="B122" s="1">
        <v>0.007652186035082442</v>
      </c>
    </row>
    <row r="123" spans="1:2">
      <c r="A123" s="11">
        <v>45418</v>
      </c>
      <c r="B123" s="1">
        <v>0.01139128800539968</v>
      </c>
    </row>
    <row r="124" spans="1:2">
      <c r="A124" s="11">
        <v>45419</v>
      </c>
      <c r="B124" s="1">
        <v>0.002553041334833583</v>
      </c>
    </row>
    <row r="125" spans="1:2">
      <c r="A125" s="11">
        <v>45420</v>
      </c>
      <c r="B125" s="1">
        <v>-0.0002997017551283898</v>
      </c>
    </row>
    <row r="126" spans="1:2">
      <c r="A126" s="11">
        <v>45421</v>
      </c>
      <c r="B126" s="1">
        <v>0.0101887507364673</v>
      </c>
    </row>
    <row r="127" spans="1:2">
      <c r="A127" s="11">
        <v>45422</v>
      </c>
      <c r="B127" s="1">
        <v>0.0005933068303103362</v>
      </c>
    </row>
    <row r="128" spans="1:2">
      <c r="A128" s="11">
        <v>45425</v>
      </c>
      <c r="B128" s="1">
        <v>-0.004743525782444302</v>
      </c>
    </row>
    <row r="129" spans="1:2">
      <c r="A129" s="11">
        <v>45426</v>
      </c>
      <c r="B129" s="1">
        <v>0.001787343387571028</v>
      </c>
    </row>
    <row r="130" spans="1:2">
      <c r="A130" s="11">
        <v>45427</v>
      </c>
      <c r="B130" s="1">
        <v>0.007582484436849946</v>
      </c>
    </row>
    <row r="131" spans="1:2">
      <c r="A131" s="11">
        <v>45428</v>
      </c>
      <c r="B131" s="1">
        <v>-0.009000915775949303</v>
      </c>
    </row>
    <row r="132" spans="1:2">
      <c r="A132" s="11">
        <v>45429</v>
      </c>
      <c r="B132" s="1">
        <v>0.001191092334999588</v>
      </c>
    </row>
    <row r="133" spans="1:2">
      <c r="A133" s="11">
        <v>45432</v>
      </c>
      <c r="B133" s="1">
        <v>0.003420589200967106</v>
      </c>
    </row>
    <row r="134" spans="1:2">
      <c r="A134" s="11">
        <v>45433</v>
      </c>
      <c r="B134" s="1">
        <v>-0.002223194443935927</v>
      </c>
    </row>
    <row r="135" spans="1:2">
      <c r="A135" s="11">
        <v>45434</v>
      </c>
      <c r="B135" s="1">
        <v>0.0005941881019280171</v>
      </c>
    </row>
    <row r="136" spans="1:2">
      <c r="A136" s="11">
        <v>45435</v>
      </c>
      <c r="B136" s="1">
        <v>-0.01143115670902051</v>
      </c>
    </row>
    <row r="137" spans="1:2">
      <c r="A137" s="11">
        <v>45436</v>
      </c>
      <c r="B137" s="1">
        <v>0.006307254768810777</v>
      </c>
    </row>
    <row r="138" spans="1:2">
      <c r="A138" s="11">
        <v>45440</v>
      </c>
      <c r="B138" s="1">
        <v>-0.01253544529053385</v>
      </c>
    </row>
    <row r="139" spans="1:2">
      <c r="A139" s="11">
        <v>45441</v>
      </c>
      <c r="B139" s="1">
        <v>-0.0136013496708649</v>
      </c>
    </row>
    <row r="140" spans="1:2">
      <c r="A140" s="11">
        <v>45442</v>
      </c>
      <c r="B140" s="1">
        <v>0.007200932970700569</v>
      </c>
    </row>
    <row r="141" spans="1:2">
      <c r="A141" s="11">
        <v>45443</v>
      </c>
      <c r="B141" s="1">
        <v>0.01049591150500451</v>
      </c>
    </row>
    <row r="142" spans="1:2">
      <c r="A142" s="11">
        <v>45446</v>
      </c>
      <c r="B142" s="1">
        <v>-0.01174166819372924</v>
      </c>
    </row>
    <row r="143" spans="1:2">
      <c r="A143" s="11">
        <v>45447</v>
      </c>
      <c r="B143" s="1">
        <v>-0.006092912237795178</v>
      </c>
    </row>
    <row r="144" spans="1:2">
      <c r="A144" s="11">
        <v>45448</v>
      </c>
      <c r="B144" s="1">
        <v>0.01180057070990692</v>
      </c>
    </row>
    <row r="145" spans="1:2">
      <c r="A145" s="11">
        <v>45449</v>
      </c>
      <c r="B145" s="1">
        <v>-0.006967482082623655</v>
      </c>
    </row>
    <row r="146" spans="1:2">
      <c r="A146" s="11">
        <v>45450</v>
      </c>
      <c r="B146" s="1">
        <v>-0.001220043470377297</v>
      </c>
    </row>
    <row r="147" spans="1:2">
      <c r="A147" s="11">
        <v>45453</v>
      </c>
      <c r="B147" s="1">
        <v>0.002901525891636059</v>
      </c>
    </row>
    <row r="148" spans="1:2">
      <c r="A148" s="11">
        <v>45454</v>
      </c>
      <c r="B148" s="1">
        <v>-0.004111483767467616</v>
      </c>
    </row>
    <row r="149" spans="1:2">
      <c r="A149" s="11">
        <v>45455</v>
      </c>
      <c r="B149" s="1">
        <v>0.01131484029402241</v>
      </c>
    </row>
    <row r="150" spans="1:2">
      <c r="A150" s="11">
        <v>45456</v>
      </c>
      <c r="B150" s="1">
        <v>-0.006803584898107284</v>
      </c>
    </row>
    <row r="151" spans="1:2">
      <c r="A151" s="11">
        <v>45457</v>
      </c>
      <c r="B151" s="1">
        <v>-0.01065619175222698</v>
      </c>
    </row>
    <row r="152" spans="1:2">
      <c r="A152" s="11">
        <v>45460</v>
      </c>
      <c r="B152" s="1">
        <v>0.01061703719241192</v>
      </c>
    </row>
    <row r="153" spans="1:2">
      <c r="A153" s="11">
        <v>45461</v>
      </c>
      <c r="B153" s="1">
        <v>0.005024277544147138</v>
      </c>
    </row>
    <row r="154" spans="1:2">
      <c r="A154" s="11">
        <v>45463</v>
      </c>
      <c r="B154" s="1">
        <v>-0.0004544266015672482</v>
      </c>
    </row>
    <row r="155" spans="1:2">
      <c r="A155" s="11">
        <v>45464</v>
      </c>
      <c r="B155" s="1">
        <v>-0.001383554351831795</v>
      </c>
    </row>
    <row r="156" spans="1:2">
      <c r="A156" s="11">
        <v>45467</v>
      </c>
      <c r="B156" s="1">
        <v>0.00471981052808168</v>
      </c>
    </row>
    <row r="157" spans="1:2">
      <c r="A157" s="11">
        <v>45468</v>
      </c>
      <c r="B157" s="1">
        <v>-0.008183058533856813</v>
      </c>
    </row>
    <row r="158" spans="1:2">
      <c r="A158" s="11">
        <v>45469</v>
      </c>
      <c r="B158" s="1">
        <v>-0.0050419517994299</v>
      </c>
    </row>
    <row r="159" spans="1:2">
      <c r="A159" s="11">
        <v>45470</v>
      </c>
      <c r="B159" s="1">
        <v>0.002303334760338283</v>
      </c>
    </row>
    <row r="160" spans="1:2">
      <c r="A160" s="11">
        <v>45471</v>
      </c>
      <c r="B160" s="1">
        <v>0.001532224218503186</v>
      </c>
    </row>
    <row r="161" spans="1:2">
      <c r="A161" s="11">
        <v>45474</v>
      </c>
      <c r="B161" s="1">
        <v>-0.0128500158379139</v>
      </c>
    </row>
    <row r="162" spans="1:2">
      <c r="A162" s="11">
        <v>45475</v>
      </c>
      <c r="B162" s="1">
        <v>0.006663569938508473</v>
      </c>
    </row>
    <row r="163" spans="1:2">
      <c r="A163" s="11">
        <v>45476</v>
      </c>
      <c r="B163" s="1">
        <v>0.002924964757212933</v>
      </c>
    </row>
    <row r="164" spans="1:2">
      <c r="A164" s="11">
        <v>45478</v>
      </c>
      <c r="B164" s="1">
        <v>-0.003683780241190204</v>
      </c>
    </row>
    <row r="165" spans="1:2">
      <c r="A165" s="11">
        <v>45481</v>
      </c>
      <c r="B165" s="1">
        <v>0.002464894253630057</v>
      </c>
    </row>
    <row r="166" spans="1:2">
      <c r="A166" s="11">
        <v>45482</v>
      </c>
      <c r="B166" s="1">
        <v>-0.006608329335398344</v>
      </c>
    </row>
    <row r="167" spans="1:2">
      <c r="A167" s="11">
        <v>45483</v>
      </c>
      <c r="B167" s="1">
        <v>0.01005575100534895</v>
      </c>
    </row>
    <row r="168" spans="1:2">
      <c r="A168" s="11">
        <v>45484</v>
      </c>
      <c r="B168" s="1">
        <v>0.01516315774586796</v>
      </c>
    </row>
    <row r="169" spans="1:2">
      <c r="A169" s="11">
        <v>45485</v>
      </c>
      <c r="B169" s="1">
        <v>0.007694602783937299</v>
      </c>
    </row>
    <row r="170" spans="1:2">
      <c r="A170" s="11">
        <v>45488</v>
      </c>
      <c r="B170" s="1">
        <v>0.009432511299854562</v>
      </c>
    </row>
    <row r="171" spans="1:2">
      <c r="A171" s="11">
        <v>45489</v>
      </c>
      <c r="B171" s="1">
        <v>0.02714323100376137</v>
      </c>
    </row>
    <row r="172" spans="1:2">
      <c r="A172" s="11">
        <v>45490</v>
      </c>
      <c r="B172" s="1">
        <v>-0.01458474403195309</v>
      </c>
    </row>
    <row r="173" spans="1:2">
      <c r="A173" s="11">
        <v>45491</v>
      </c>
      <c r="B173" s="1">
        <v>-0.008059722024892801</v>
      </c>
    </row>
    <row r="174" spans="1:2">
      <c r="A174" s="11">
        <v>45492</v>
      </c>
      <c r="B174" s="1">
        <v>-0.006795656172831843</v>
      </c>
    </row>
    <row r="175" spans="1:2">
      <c r="A175" s="11">
        <v>45495</v>
      </c>
      <c r="B175" s="1">
        <v>0.01264312141631341</v>
      </c>
    </row>
    <row r="176" spans="1:2">
      <c r="A176" s="11">
        <v>45496</v>
      </c>
      <c r="B176" s="1">
        <v>0.0004405701099288173</v>
      </c>
    </row>
    <row r="177" spans="1:2">
      <c r="A177" s="11">
        <v>45497</v>
      </c>
      <c r="B177" s="1">
        <v>-0.02290407585133636</v>
      </c>
    </row>
    <row r="178" spans="1:2">
      <c r="A178" s="11">
        <v>45498</v>
      </c>
      <c r="B178" s="1">
        <v>0.007513190575004103</v>
      </c>
    </row>
    <row r="179" spans="1:2">
      <c r="A179" s="11">
        <v>45499</v>
      </c>
      <c r="B179" s="1">
        <v>0.01774788842807284</v>
      </c>
    </row>
    <row r="180" spans="1:2">
      <c r="A180" s="11">
        <v>45502</v>
      </c>
      <c r="B180" s="1">
        <v>-0.002051661964588947</v>
      </c>
    </row>
    <row r="181" spans="1:2">
      <c r="A181" s="11">
        <v>45503</v>
      </c>
      <c r="B181" s="1">
        <v>0.0008812205339412404</v>
      </c>
    </row>
    <row r="182" spans="1:2">
      <c r="A182" s="11">
        <v>45504</v>
      </c>
      <c r="B182" s="1">
        <v>0.01276402050841141</v>
      </c>
    </row>
    <row r="183" spans="1:2">
      <c r="A183" s="11">
        <v>45505</v>
      </c>
      <c r="B183" s="1">
        <v>-0.02042595056474761</v>
      </c>
    </row>
    <row r="184" spans="1:2">
      <c r="A184" s="11">
        <v>45506</v>
      </c>
      <c r="B184" s="1">
        <v>-0.02307016111458493</v>
      </c>
    </row>
    <row r="185" spans="1:2">
      <c r="A185" s="11">
        <v>45509</v>
      </c>
      <c r="B185" s="1">
        <v>-0.02028454388692602</v>
      </c>
    </row>
    <row r="186" spans="1:2">
      <c r="A186" s="11">
        <v>45510</v>
      </c>
      <c r="B186" s="1">
        <v>0.01050688250560605</v>
      </c>
    </row>
    <row r="187" spans="1:2">
      <c r="A187" s="11">
        <v>45511</v>
      </c>
      <c r="B187" s="1">
        <v>-0.006880890460148836</v>
      </c>
    </row>
    <row r="188" spans="1:2">
      <c r="A188" s="11">
        <v>45512</v>
      </c>
      <c r="B188" s="1">
        <v>0.02217098200857182</v>
      </c>
    </row>
    <row r="189" spans="1:2">
      <c r="A189" s="11">
        <v>45513</v>
      </c>
      <c r="B189" s="1">
        <v>0.0007531297827594319</v>
      </c>
    </row>
    <row r="190" spans="1:2">
      <c r="A190" s="11">
        <v>45516</v>
      </c>
      <c r="B190" s="1">
        <v>-0.006923510158616142</v>
      </c>
    </row>
    <row r="191" spans="1:2">
      <c r="A191" s="11">
        <v>45517</v>
      </c>
      <c r="B191" s="1">
        <v>0.01197334674330763</v>
      </c>
    </row>
    <row r="192" spans="1:2">
      <c r="A192" s="11">
        <v>45518</v>
      </c>
      <c r="B192" s="1">
        <v>0.005391604378280013</v>
      </c>
    </row>
    <row r="193" spans="1:2">
      <c r="A193" s="11">
        <v>45519</v>
      </c>
      <c r="B193" s="1">
        <v>0.01489643994582868</v>
      </c>
    </row>
    <row r="194" spans="1:2">
      <c r="A194" s="11">
        <v>45520</v>
      </c>
      <c r="B194" s="1">
        <v>-0.003522652269157267</v>
      </c>
    </row>
    <row r="195" spans="1:2">
      <c r="A195" s="11">
        <v>45523</v>
      </c>
      <c r="B195" s="1">
        <v>0.007070323772114806</v>
      </c>
    </row>
    <row r="196" spans="1:2">
      <c r="A196" s="11">
        <v>45524</v>
      </c>
      <c r="B196" s="1">
        <v>-0.004095409110425496</v>
      </c>
    </row>
    <row r="197" spans="1:2">
      <c r="A197" s="11">
        <v>45525</v>
      </c>
      <c r="B197" s="1">
        <v>0.008371298392595872</v>
      </c>
    </row>
    <row r="198" spans="1:2">
      <c r="A198" s="11">
        <v>45526</v>
      </c>
      <c r="B198" s="1">
        <v>-0.002476072237115656</v>
      </c>
    </row>
    <row r="199" spans="1:2">
      <c r="A199" s="11">
        <v>45527</v>
      </c>
      <c r="B199" s="1">
        <v>0.01357861315063436</v>
      </c>
    </row>
    <row r="200" spans="1:2">
      <c r="A200" s="11">
        <v>45530</v>
      </c>
      <c r="B200" s="1">
        <v>-0.0008642427301690514</v>
      </c>
    </row>
    <row r="201" spans="1:2">
      <c r="A201" s="11">
        <v>45531</v>
      </c>
      <c r="B201" s="1">
        <v>-0.001585981943147408</v>
      </c>
    </row>
    <row r="202" spans="1:2">
      <c r="A202" s="11">
        <v>45532</v>
      </c>
      <c r="B202" s="1">
        <v>-0.001443940549872957</v>
      </c>
    </row>
    <row r="203" spans="1:2">
      <c r="A203" s="11">
        <v>45533</v>
      </c>
      <c r="B203" s="1">
        <v>0.005639900728667158</v>
      </c>
    </row>
    <row r="204" spans="1:2">
      <c r="A204" s="11">
        <v>45534</v>
      </c>
      <c r="B204" s="1">
        <v>0.01035367934045395</v>
      </c>
    </row>
    <row r="205" spans="1:2">
      <c r="A205" s="11">
        <v>45538</v>
      </c>
      <c r="B205" s="1">
        <v>-0.02448040108041483</v>
      </c>
    </row>
    <row r="206" spans="1:2">
      <c r="A206" s="11">
        <v>45539</v>
      </c>
      <c r="B206" s="1">
        <v>-0.0007296174150773771</v>
      </c>
    </row>
    <row r="207" spans="1:2">
      <c r="A207" s="11">
        <v>45540</v>
      </c>
      <c r="B207" s="1">
        <v>-0.0127025228546882</v>
      </c>
    </row>
    <row r="208" spans="1:2">
      <c r="A208" s="11">
        <v>45541</v>
      </c>
      <c r="B208" s="1">
        <v>-0.0103520260086517</v>
      </c>
    </row>
    <row r="209" spans="1:2">
      <c r="A209" s="11">
        <v>45544</v>
      </c>
      <c r="B209" s="1">
        <v>0.01195464162808868</v>
      </c>
    </row>
    <row r="210" spans="1:2">
      <c r="A210" s="11">
        <v>45545</v>
      </c>
      <c r="B210" s="1">
        <v>0.003396266334092291</v>
      </c>
    </row>
    <row r="211" spans="1:2">
      <c r="A211" s="11">
        <v>45546</v>
      </c>
      <c r="B211" s="1">
        <v>0.003384997232958487</v>
      </c>
    </row>
    <row r="212" spans="1:2">
      <c r="A212" s="11">
        <v>45547</v>
      </c>
      <c r="B212" s="1">
        <v>0.008653341869979014</v>
      </c>
    </row>
    <row r="213" spans="1:2">
      <c r="A213" s="11">
        <v>45548</v>
      </c>
      <c r="B213" s="1">
        <v>0.01177861718145867</v>
      </c>
    </row>
    <row r="214" spans="1:2">
      <c r="A214" s="11">
        <v>45551</v>
      </c>
      <c r="B214" s="1">
        <v>0.00546128167601978</v>
      </c>
    </row>
    <row r="215" spans="1:2">
      <c r="A215" s="11">
        <v>45552</v>
      </c>
      <c r="B215" s="1">
        <v>0.005431618079729805</v>
      </c>
    </row>
    <row r="216" spans="1:2">
      <c r="A216" s="11">
        <v>45553</v>
      </c>
      <c r="B216" s="1">
        <v>-0.001279463150564264</v>
      </c>
    </row>
    <row r="217" spans="1:2">
      <c r="A217" s="11">
        <v>45554</v>
      </c>
      <c r="B217" s="1">
        <v>0.02078286127007445</v>
      </c>
    </row>
    <row r="218" spans="1:2">
      <c r="A218" s="11">
        <v>45555</v>
      </c>
      <c r="B218" s="1">
        <v>-0.007133737895383185</v>
      </c>
    </row>
    <row r="219" spans="1:2">
      <c r="A219" s="11">
        <v>45558</v>
      </c>
      <c r="B219" s="1">
        <v>0.006480673726366293</v>
      </c>
    </row>
    <row r="220" spans="1:2">
      <c r="A220" s="11">
        <v>45559</v>
      </c>
      <c r="B220" s="1">
        <v>0.004619096108059662</v>
      </c>
    </row>
    <row r="221" spans="1:2">
      <c r="A221" s="11">
        <v>45560</v>
      </c>
      <c r="B221" s="1">
        <v>-0.004458587424932214</v>
      </c>
    </row>
    <row r="222" spans="1:2">
      <c r="A222" s="11">
        <v>45561</v>
      </c>
      <c r="B222" s="1">
        <v>0.004758559114913519</v>
      </c>
    </row>
    <row r="223" spans="1:2">
      <c r="A223" s="11">
        <v>45562</v>
      </c>
      <c r="B223" s="1">
        <v>0.001810869835142226</v>
      </c>
    </row>
    <row r="224" spans="1:2">
      <c r="A224" s="11">
        <v>45565</v>
      </c>
      <c r="B224" s="1">
        <v>0.003475999455171852</v>
      </c>
    </row>
    <row r="225" spans="1:2">
      <c r="A225" s="11">
        <v>45566</v>
      </c>
      <c r="B225" s="1">
        <v>-0.0008313118315411705</v>
      </c>
    </row>
    <row r="226" spans="1:2">
      <c r="A226" s="11">
        <v>45567</v>
      </c>
      <c r="B226" s="1">
        <v>-0.000554668990588647</v>
      </c>
    </row>
    <row r="227" spans="1:2">
      <c r="A227" s="11">
        <v>45568</v>
      </c>
      <c r="B227" s="1">
        <v>-0.005550193949177329</v>
      </c>
    </row>
    <row r="228" spans="1:2">
      <c r="A228" s="11">
        <v>45569</v>
      </c>
      <c r="B228" s="1">
        <v>0.007115928203010657</v>
      </c>
    </row>
    <row r="229" spans="1:2">
      <c r="A229" s="11">
        <v>45572</v>
      </c>
      <c r="B229" s="1">
        <v>-0.001385433983262963</v>
      </c>
    </row>
    <row r="230" spans="1:2">
      <c r="A230" s="11">
        <v>45573</v>
      </c>
      <c r="B230" s="1">
        <v>0.0008324562141015512</v>
      </c>
    </row>
    <row r="231" spans="1:2">
      <c r="A231" s="11">
        <v>45574</v>
      </c>
      <c r="B231" s="1">
        <v>0.008732988292780908</v>
      </c>
    </row>
    <row r="232" spans="1:2">
      <c r="A232" s="11">
        <v>45575</v>
      </c>
      <c r="B232" s="1">
        <v>-0.006046443279200897</v>
      </c>
    </row>
    <row r="233" spans="1:2">
      <c r="A233" s="11">
        <v>45576</v>
      </c>
      <c r="B233" s="1">
        <v>0.01797318451396146</v>
      </c>
    </row>
    <row r="234" spans="1:2">
      <c r="A234" s="11">
        <v>45579</v>
      </c>
      <c r="B234" s="1">
        <v>0.005704211360560318</v>
      </c>
    </row>
    <row r="235" spans="1:2">
      <c r="A235" s="11">
        <v>45580</v>
      </c>
      <c r="B235" s="1">
        <v>-0.006617150266163274</v>
      </c>
    </row>
    <row r="236" spans="1:2">
      <c r="A236" s="11">
        <v>45581</v>
      </c>
      <c r="B236" s="1">
        <v>0.008292539269609156</v>
      </c>
    </row>
    <row r="237" spans="1:2">
      <c r="A237" s="11">
        <v>45582</v>
      </c>
      <c r="B237" s="1">
        <v>-0.001617894201530468</v>
      </c>
    </row>
    <row r="238" spans="1:2">
      <c r="A238" s="11">
        <v>45583</v>
      </c>
      <c r="B238" s="1">
        <v>0.0004051549046741876</v>
      </c>
    </row>
    <row r="239" spans="1:2">
      <c r="A239" s="11">
        <v>45586</v>
      </c>
      <c r="B239" s="1">
        <v>-0.004724651286956427</v>
      </c>
    </row>
    <row r="240" spans="1:2">
      <c r="A240" s="11">
        <v>45587</v>
      </c>
      <c r="B240" s="1">
        <v>-0.01071479515487006</v>
      </c>
    </row>
    <row r="241" spans="1:2">
      <c r="A241" s="11">
        <v>45588</v>
      </c>
      <c r="B241" s="1">
        <v>-0.004661352557880694</v>
      </c>
    </row>
    <row r="242" spans="1:2">
      <c r="A242" s="11">
        <v>45589</v>
      </c>
      <c r="B242" s="1">
        <v>-0.004683182522711937</v>
      </c>
    </row>
    <row r="243" spans="1:2">
      <c r="A243" s="11">
        <v>45590</v>
      </c>
      <c r="B243" s="1">
        <v>-0.001660658902487344</v>
      </c>
    </row>
    <row r="244" spans="1:2">
      <c r="A244" s="11">
        <v>45593</v>
      </c>
      <c r="B244" s="1">
        <v>0.003881280869475034</v>
      </c>
    </row>
    <row r="245" spans="1:2">
      <c r="A245" s="11">
        <v>45594</v>
      </c>
      <c r="B245" s="1">
        <v>-0.001380842682656591</v>
      </c>
    </row>
    <row r="246" spans="1:2">
      <c r="A246" s="11">
        <v>45595</v>
      </c>
      <c r="B246" s="1">
        <v>-0.001659281240480093</v>
      </c>
    </row>
    <row r="247" spans="1:2">
      <c r="A247" s="11">
        <v>45596</v>
      </c>
      <c r="B247" s="1">
        <v>-0.01080330682336983</v>
      </c>
    </row>
    <row r="248" spans="1:2">
      <c r="A248" s="11">
        <v>45597</v>
      </c>
      <c r="B248" s="1">
        <v>0.002240325799954146</v>
      </c>
    </row>
    <row r="249" spans="1:2">
      <c r="A249" s="11">
        <v>45600</v>
      </c>
      <c r="B249" s="1">
        <v>0.0002793879528386611</v>
      </c>
    </row>
    <row r="250" spans="1:2">
      <c r="A250" s="11">
        <v>45601</v>
      </c>
      <c r="B250" s="1">
        <v>0.01773741182238409</v>
      </c>
    </row>
    <row r="251" spans="1:2">
      <c r="A251" s="11">
        <v>45602</v>
      </c>
      <c r="B251" s="1">
        <v>0.04062026213792769</v>
      </c>
    </row>
    <row r="252" spans="1:2">
      <c r="A252" s="11">
        <v>45603</v>
      </c>
      <c r="B252" s="1">
        <v>-0.003428682880166511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 t="array" ref="B2">MMULT(Returns!B2,Resume!$B$38)</f>
        <v>0</v>
      </c>
    </row>
    <row r="3" spans="1:2">
      <c r="A3" s="11">
        <f>Returns!A3</f>
        <v>0</v>
      </c>
      <c r="B3" s="1">
        <f t="array" ref="B3">MMULT(Returns!B3,Resume!$B$38)</f>
        <v>0</v>
      </c>
    </row>
    <row r="4" spans="1:2">
      <c r="A4" s="11">
        <f>Returns!A4</f>
        <v>0</v>
      </c>
      <c r="B4" s="1">
        <f t="array" ref="B4">MMULT(Returns!B4,Resume!$B$38)</f>
        <v>0</v>
      </c>
    </row>
    <row r="5" spans="1:2">
      <c r="A5" s="11">
        <f>Returns!A5</f>
        <v>0</v>
      </c>
      <c r="B5" s="1">
        <f t="array" ref="B5">MMULT(Returns!B5,Resume!$B$38)</f>
        <v>0</v>
      </c>
    </row>
    <row r="6" spans="1:2">
      <c r="A6" s="11">
        <f>Returns!A6</f>
        <v>0</v>
      </c>
      <c r="B6" s="1">
        <f t="array" ref="B6">MMULT(Returns!B6,Resume!$B$38)</f>
        <v>0</v>
      </c>
    </row>
    <row r="7" spans="1:2">
      <c r="A7" s="11">
        <f>Returns!A7</f>
        <v>0</v>
      </c>
      <c r="B7" s="1">
        <f t="array" ref="B7">MMULT(Returns!B7,Resume!$B$38)</f>
        <v>0</v>
      </c>
    </row>
    <row r="8" spans="1:2">
      <c r="A8" s="11">
        <f>Returns!A8</f>
        <v>0</v>
      </c>
      <c r="B8" s="1">
        <f t="array" ref="B8">MMULT(Returns!B8,Resume!$B$38)</f>
        <v>0</v>
      </c>
    </row>
    <row r="9" spans="1:2">
      <c r="A9" s="11">
        <f>Returns!A9</f>
        <v>0</v>
      </c>
      <c r="B9" s="1">
        <f t="array" ref="B9">MMULT(Returns!B9,Resume!$B$38)</f>
        <v>0</v>
      </c>
    </row>
    <row r="10" spans="1:2">
      <c r="A10" s="11">
        <f>Returns!A10</f>
        <v>0</v>
      </c>
      <c r="B10" s="1">
        <f t="array" ref="B10">MMULT(Returns!B10,Resume!$B$38)</f>
        <v>0</v>
      </c>
    </row>
    <row r="11" spans="1:2">
      <c r="A11" s="11">
        <f>Returns!A11</f>
        <v>0</v>
      </c>
      <c r="B11" s="1">
        <f t="array" ref="B11">MMULT(Returns!B11,Resume!$B$38)</f>
        <v>0</v>
      </c>
    </row>
    <row r="12" spans="1:2">
      <c r="A12" s="11">
        <f>Returns!A12</f>
        <v>0</v>
      </c>
      <c r="B12" s="1">
        <f t="array" ref="B12">MMULT(Returns!B12,Resume!$B$38)</f>
        <v>0</v>
      </c>
    </row>
    <row r="13" spans="1:2">
      <c r="A13" s="11">
        <f>Returns!A13</f>
        <v>0</v>
      </c>
      <c r="B13" s="1">
        <f t="array" ref="B13">MMULT(Returns!B13,Resume!$B$38)</f>
        <v>0</v>
      </c>
    </row>
    <row r="14" spans="1:2">
      <c r="A14" s="11">
        <f>Returns!A14</f>
        <v>0</v>
      </c>
      <c r="B14" s="1">
        <f t="array" ref="B14">MMULT(Returns!B14,Resume!$B$38)</f>
        <v>0</v>
      </c>
    </row>
    <row r="15" spans="1:2">
      <c r="A15" s="11">
        <f>Returns!A15</f>
        <v>0</v>
      </c>
      <c r="B15" s="1">
        <f t="array" ref="B15">MMULT(Returns!B15,Resume!$B$38)</f>
        <v>0</v>
      </c>
    </row>
    <row r="16" spans="1:2">
      <c r="A16" s="11">
        <f>Returns!A16</f>
        <v>0</v>
      </c>
      <c r="B16" s="1">
        <f t="array" ref="B16">MMULT(Returns!B16,Resume!$B$38)</f>
        <v>0</v>
      </c>
    </row>
    <row r="17" spans="1:2">
      <c r="A17" s="11">
        <f>Returns!A17</f>
        <v>0</v>
      </c>
      <c r="B17" s="1">
        <f t="array" ref="B17">MMULT(Returns!B17,Resume!$B$38)</f>
        <v>0</v>
      </c>
    </row>
    <row r="18" spans="1:2">
      <c r="A18" s="11">
        <f>Returns!A18</f>
        <v>0</v>
      </c>
      <c r="B18" s="1">
        <f t="array" ref="B18">MMULT(Returns!B18,Resume!$B$38)</f>
        <v>0</v>
      </c>
    </row>
    <row r="19" spans="1:2">
      <c r="A19" s="11">
        <f>Returns!A19</f>
        <v>0</v>
      </c>
      <c r="B19" s="1">
        <f t="array" ref="B19">MMULT(Returns!B19,Resume!$B$38)</f>
        <v>0</v>
      </c>
    </row>
    <row r="20" spans="1:2">
      <c r="A20" s="11">
        <f>Returns!A20</f>
        <v>0</v>
      </c>
      <c r="B20" s="1">
        <f t="array" ref="B20">MMULT(Returns!B20,Resume!$B$38)</f>
        <v>0</v>
      </c>
    </row>
    <row r="21" spans="1:2">
      <c r="A21" s="11">
        <f>Returns!A21</f>
        <v>0</v>
      </c>
      <c r="B21" s="1">
        <f t="array" ref="B21">MMULT(Returns!B21,Resume!$B$38)</f>
        <v>0</v>
      </c>
    </row>
    <row r="22" spans="1:2">
      <c r="A22" s="11">
        <f>Returns!A22</f>
        <v>0</v>
      </c>
      <c r="B22" s="1">
        <f t="array" ref="B22">MMULT(Returns!B22,Resume!$B$38)</f>
        <v>0</v>
      </c>
    </row>
    <row r="23" spans="1:2">
      <c r="A23" s="11">
        <f>Returns!A23</f>
        <v>0</v>
      </c>
      <c r="B23" s="1">
        <f t="array" ref="B23">MMULT(Returns!B23,Resume!$B$38)</f>
        <v>0</v>
      </c>
    </row>
    <row r="24" spans="1:2">
      <c r="A24" s="11">
        <f>Returns!A24</f>
        <v>0</v>
      </c>
      <c r="B24" s="1">
        <f t="array" ref="B24">MMULT(Returns!B24,Resume!$B$38)</f>
        <v>0</v>
      </c>
    </row>
    <row r="25" spans="1:2">
      <c r="A25" s="11">
        <f>Returns!A25</f>
        <v>0</v>
      </c>
      <c r="B25" s="1">
        <f t="array" ref="B25">MMULT(Returns!B25,Resume!$B$38)</f>
        <v>0</v>
      </c>
    </row>
    <row r="26" spans="1:2">
      <c r="A26" s="11">
        <f>Returns!A26</f>
        <v>0</v>
      </c>
      <c r="B26" s="1">
        <f t="array" ref="B26">MMULT(Returns!B26,Resume!$B$38)</f>
        <v>0</v>
      </c>
    </row>
    <row r="27" spans="1:2">
      <c r="A27" s="11">
        <f>Returns!A27</f>
        <v>0</v>
      </c>
      <c r="B27" s="1">
        <f t="array" ref="B27">MMULT(Returns!B27,Resume!$B$38)</f>
        <v>0</v>
      </c>
    </row>
    <row r="28" spans="1:2">
      <c r="A28" s="11">
        <f>Returns!A28</f>
        <v>0</v>
      </c>
      <c r="B28" s="1">
        <f t="array" ref="B28">MMULT(Returns!B28,Resume!$B$38)</f>
        <v>0</v>
      </c>
    </row>
    <row r="29" spans="1:2">
      <c r="A29" s="11">
        <f>Returns!A29</f>
        <v>0</v>
      </c>
      <c r="B29" s="1">
        <f t="array" ref="B29">MMULT(Returns!B29,Resume!$B$38)</f>
        <v>0</v>
      </c>
    </row>
    <row r="30" spans="1:2">
      <c r="A30" s="11">
        <f>Returns!A30</f>
        <v>0</v>
      </c>
      <c r="B30" s="1">
        <f t="array" ref="B30">MMULT(Returns!B30,Resume!$B$38)</f>
        <v>0</v>
      </c>
    </row>
    <row r="31" spans="1:2">
      <c r="A31" s="11">
        <f>Returns!A31</f>
        <v>0</v>
      </c>
      <c r="B31" s="1">
        <f t="array" ref="B31">MMULT(Returns!B31,Resume!$B$38)</f>
        <v>0</v>
      </c>
    </row>
    <row r="32" spans="1:2">
      <c r="A32" s="11">
        <f>Returns!A32</f>
        <v>0</v>
      </c>
      <c r="B32" s="1">
        <f t="array" ref="B32">MMULT(Returns!B32,Resume!$B$38)</f>
        <v>0</v>
      </c>
    </row>
    <row r="33" spans="1:2">
      <c r="A33" s="11">
        <f>Returns!A33</f>
        <v>0</v>
      </c>
      <c r="B33" s="1">
        <f t="array" ref="B33">MMULT(Returns!B33,Resume!$B$38)</f>
        <v>0</v>
      </c>
    </row>
    <row r="34" spans="1:2">
      <c r="A34" s="11">
        <f>Returns!A34</f>
        <v>0</v>
      </c>
      <c r="B34" s="1">
        <f t="array" ref="B34">MMULT(Returns!B34,Resume!$B$38)</f>
        <v>0</v>
      </c>
    </row>
    <row r="35" spans="1:2">
      <c r="A35" s="11">
        <f>Returns!A35</f>
        <v>0</v>
      </c>
      <c r="B35" s="1">
        <f t="array" ref="B35">MMULT(Returns!B35,Resume!$B$38)</f>
        <v>0</v>
      </c>
    </row>
    <row r="36" spans="1:2">
      <c r="A36" s="11">
        <f>Returns!A36</f>
        <v>0</v>
      </c>
      <c r="B36" s="1">
        <f t="array" ref="B36">MMULT(Returns!B36,Resume!$B$38)</f>
        <v>0</v>
      </c>
    </row>
    <row r="37" spans="1:2">
      <c r="A37" s="11">
        <f>Returns!A37</f>
        <v>0</v>
      </c>
      <c r="B37" s="1">
        <f t="array" ref="B37">MMULT(Returns!B37,Resume!$B$38)</f>
        <v>0</v>
      </c>
    </row>
    <row r="38" spans="1:2">
      <c r="A38" s="11">
        <f>Returns!A38</f>
        <v>0</v>
      </c>
      <c r="B38" s="1">
        <f t="array" ref="B38">MMULT(Returns!B38,Resume!$B$38)</f>
        <v>0</v>
      </c>
    </row>
    <row r="39" spans="1:2">
      <c r="A39" s="11">
        <f>Returns!A39</f>
        <v>0</v>
      </c>
      <c r="B39" s="1">
        <f t="array" ref="B39">MMULT(Returns!B39,Resume!$B$38)</f>
        <v>0</v>
      </c>
    </row>
    <row r="40" spans="1:2">
      <c r="A40" s="11">
        <f>Returns!A40</f>
        <v>0</v>
      </c>
      <c r="B40" s="1">
        <f t="array" ref="B40">MMULT(Returns!B40,Resume!$B$38)</f>
        <v>0</v>
      </c>
    </row>
    <row r="41" spans="1:2">
      <c r="A41" s="11">
        <f>Returns!A41</f>
        <v>0</v>
      </c>
      <c r="B41" s="1">
        <f t="array" ref="B41">MMULT(Returns!B41,Resume!$B$38)</f>
        <v>0</v>
      </c>
    </row>
    <row r="42" spans="1:2">
      <c r="A42" s="11">
        <f>Returns!A42</f>
        <v>0</v>
      </c>
      <c r="B42" s="1">
        <f t="array" ref="B42">MMULT(Returns!B42,Resume!$B$38)</f>
        <v>0</v>
      </c>
    </row>
    <row r="43" spans="1:2">
      <c r="A43" s="11">
        <f>Returns!A43</f>
        <v>0</v>
      </c>
      <c r="B43" s="1">
        <f t="array" ref="B43">MMULT(Returns!B43,Resume!$B$38)</f>
        <v>0</v>
      </c>
    </row>
    <row r="44" spans="1:2">
      <c r="A44" s="11">
        <f>Returns!A44</f>
        <v>0</v>
      </c>
      <c r="B44" s="1">
        <f t="array" ref="B44">MMULT(Returns!B44,Resume!$B$38)</f>
        <v>0</v>
      </c>
    </row>
    <row r="45" spans="1:2">
      <c r="A45" s="11">
        <f>Returns!A45</f>
        <v>0</v>
      </c>
      <c r="B45" s="1">
        <f t="array" ref="B45">MMULT(Returns!B45,Resume!$B$38)</f>
        <v>0</v>
      </c>
    </row>
    <row r="46" spans="1:2">
      <c r="A46" s="11">
        <f>Returns!A46</f>
        <v>0</v>
      </c>
      <c r="B46" s="1">
        <f t="array" ref="B46">MMULT(Returns!B46,Resume!$B$38)</f>
        <v>0</v>
      </c>
    </row>
    <row r="47" spans="1:2">
      <c r="A47" s="11">
        <f>Returns!A47</f>
        <v>0</v>
      </c>
      <c r="B47" s="1">
        <f t="array" ref="B47">MMULT(Returns!B47,Resume!$B$38)</f>
        <v>0</v>
      </c>
    </row>
    <row r="48" spans="1:2">
      <c r="A48" s="11">
        <f>Returns!A48</f>
        <v>0</v>
      </c>
      <c r="B48" s="1">
        <f t="array" ref="B48">MMULT(Returns!B48,Resume!$B$38)</f>
        <v>0</v>
      </c>
    </row>
    <row r="49" spans="1:2">
      <c r="A49" s="11">
        <f>Returns!A49</f>
        <v>0</v>
      </c>
      <c r="B49" s="1">
        <f t="array" ref="B49">MMULT(Returns!B49,Resume!$B$38)</f>
        <v>0</v>
      </c>
    </row>
    <row r="50" spans="1:2">
      <c r="A50" s="11">
        <f>Returns!A50</f>
        <v>0</v>
      </c>
      <c r="B50" s="1">
        <f t="array" ref="B50">MMULT(Returns!B50,Resume!$B$38)</f>
        <v>0</v>
      </c>
    </row>
    <row r="51" spans="1:2">
      <c r="A51" s="11">
        <f>Returns!A51</f>
        <v>0</v>
      </c>
      <c r="B51" s="1">
        <f t="array" ref="B51">MMULT(Returns!B51,Resume!$B$38)</f>
        <v>0</v>
      </c>
    </row>
    <row r="52" spans="1:2">
      <c r="A52" s="11">
        <f>Returns!A52</f>
        <v>0</v>
      </c>
      <c r="B52" s="1">
        <f t="array" ref="B52">MMULT(Returns!B52,Resume!$B$38)</f>
        <v>0</v>
      </c>
    </row>
    <row r="53" spans="1:2">
      <c r="A53" s="11">
        <f>Returns!A53</f>
        <v>0</v>
      </c>
      <c r="B53" s="1">
        <f t="array" ref="B53">MMULT(Returns!B53,Resume!$B$38)</f>
        <v>0</v>
      </c>
    </row>
    <row r="54" spans="1:2">
      <c r="A54" s="11">
        <f>Returns!A54</f>
        <v>0</v>
      </c>
      <c r="B54" s="1">
        <f t="array" ref="B54">MMULT(Returns!B54,Resume!$B$38)</f>
        <v>0</v>
      </c>
    </row>
    <row r="55" spans="1:2">
      <c r="A55" s="11">
        <f>Returns!A55</f>
        <v>0</v>
      </c>
      <c r="B55" s="1">
        <f t="array" ref="B55">MMULT(Returns!B55,Resume!$B$38)</f>
        <v>0</v>
      </c>
    </row>
    <row r="56" spans="1:2">
      <c r="A56" s="11">
        <f>Returns!A56</f>
        <v>0</v>
      </c>
      <c r="B56" s="1">
        <f t="array" ref="B56">MMULT(Returns!B56,Resume!$B$38)</f>
        <v>0</v>
      </c>
    </row>
    <row r="57" spans="1:2">
      <c r="A57" s="11">
        <f>Returns!A57</f>
        <v>0</v>
      </c>
      <c r="B57" s="1">
        <f t="array" ref="B57">MMULT(Returns!B57,Resume!$B$38)</f>
        <v>0</v>
      </c>
    </row>
    <row r="58" spans="1:2">
      <c r="A58" s="11">
        <f>Returns!A58</f>
        <v>0</v>
      </c>
      <c r="B58" s="1">
        <f t="array" ref="B58">MMULT(Returns!B58,Resume!$B$38)</f>
        <v>0</v>
      </c>
    </row>
    <row r="59" spans="1:2">
      <c r="A59" s="11">
        <f>Returns!A59</f>
        <v>0</v>
      </c>
      <c r="B59" s="1">
        <f t="array" ref="B59">MMULT(Returns!B59,Resume!$B$38)</f>
        <v>0</v>
      </c>
    </row>
    <row r="60" spans="1:2">
      <c r="A60" s="11">
        <f>Returns!A60</f>
        <v>0</v>
      </c>
      <c r="B60" s="1">
        <f t="array" ref="B60">MMULT(Returns!B60,Resume!$B$38)</f>
        <v>0</v>
      </c>
    </row>
    <row r="61" spans="1:2">
      <c r="A61" s="11">
        <f>Returns!A61</f>
        <v>0</v>
      </c>
      <c r="B61" s="1">
        <f t="array" ref="B61">MMULT(Returns!B61,Resume!$B$38)</f>
        <v>0</v>
      </c>
    </row>
    <row r="62" spans="1:2">
      <c r="A62" s="11">
        <f>Returns!A62</f>
        <v>0</v>
      </c>
      <c r="B62" s="1">
        <f t="array" ref="B62">MMULT(Returns!B62,Resume!$B$38)</f>
        <v>0</v>
      </c>
    </row>
    <row r="63" spans="1:2">
      <c r="A63" s="11">
        <f>Returns!A63</f>
        <v>0</v>
      </c>
      <c r="B63" s="1">
        <f t="array" ref="B63">MMULT(Returns!B63,Resume!$B$38)</f>
        <v>0</v>
      </c>
    </row>
    <row r="64" spans="1:2">
      <c r="A64" s="11">
        <f>Returns!A64</f>
        <v>0</v>
      </c>
      <c r="B64" s="1">
        <f t="array" ref="B64">MMULT(Returns!B64,Resume!$B$38)</f>
        <v>0</v>
      </c>
    </row>
    <row r="65" spans="1:2">
      <c r="A65" s="11">
        <f>Returns!A65</f>
        <v>0</v>
      </c>
      <c r="B65" s="1">
        <f t="array" ref="B65">MMULT(Returns!B65,Resume!$B$38)</f>
        <v>0</v>
      </c>
    </row>
    <row r="66" spans="1:2">
      <c r="A66" s="11">
        <f>Returns!A66</f>
        <v>0</v>
      </c>
      <c r="B66" s="1">
        <f t="array" ref="B66">MMULT(Returns!B66,Resume!$B$38)</f>
        <v>0</v>
      </c>
    </row>
    <row r="67" spans="1:2">
      <c r="A67" s="11">
        <f>Returns!A67</f>
        <v>0</v>
      </c>
      <c r="B67" s="1">
        <f t="array" ref="B67">MMULT(Returns!B67,Resume!$B$38)</f>
        <v>0</v>
      </c>
    </row>
    <row r="68" spans="1:2">
      <c r="A68" s="11">
        <f>Returns!A68</f>
        <v>0</v>
      </c>
      <c r="B68" s="1">
        <f t="array" ref="B68">MMULT(Returns!B68,Resume!$B$38)</f>
        <v>0</v>
      </c>
    </row>
    <row r="69" spans="1:2">
      <c r="A69" s="11">
        <f>Returns!A69</f>
        <v>0</v>
      </c>
      <c r="B69" s="1">
        <f t="array" ref="B69">MMULT(Returns!B69,Resume!$B$38)</f>
        <v>0</v>
      </c>
    </row>
    <row r="70" spans="1:2">
      <c r="A70" s="11">
        <f>Returns!A70</f>
        <v>0</v>
      </c>
      <c r="B70" s="1">
        <f t="array" ref="B70">MMULT(Returns!B70,Resume!$B$38)</f>
        <v>0</v>
      </c>
    </row>
    <row r="71" spans="1:2">
      <c r="A71" s="11">
        <f>Returns!A71</f>
        <v>0</v>
      </c>
      <c r="B71" s="1">
        <f t="array" ref="B71">MMULT(Returns!B71,Resume!$B$38)</f>
        <v>0</v>
      </c>
    </row>
    <row r="72" spans="1:2">
      <c r="A72" s="11">
        <f>Returns!A72</f>
        <v>0</v>
      </c>
      <c r="B72" s="1">
        <f t="array" ref="B72">MMULT(Returns!B72,Resume!$B$38)</f>
        <v>0</v>
      </c>
    </row>
    <row r="73" spans="1:2">
      <c r="A73" s="11">
        <f>Returns!A73</f>
        <v>0</v>
      </c>
      <c r="B73" s="1">
        <f t="array" ref="B73">MMULT(Returns!B73,Resume!$B$38)</f>
        <v>0</v>
      </c>
    </row>
    <row r="74" spans="1:2">
      <c r="A74" s="11">
        <f>Returns!A74</f>
        <v>0</v>
      </c>
      <c r="B74" s="1">
        <f t="array" ref="B74">MMULT(Returns!B74,Resume!$B$38)</f>
        <v>0</v>
      </c>
    </row>
    <row r="75" spans="1:2">
      <c r="A75" s="11">
        <f>Returns!A75</f>
        <v>0</v>
      </c>
      <c r="B75" s="1">
        <f t="array" ref="B75">MMULT(Returns!B75,Resume!$B$38)</f>
        <v>0</v>
      </c>
    </row>
    <row r="76" spans="1:2">
      <c r="A76" s="11">
        <f>Returns!A76</f>
        <v>0</v>
      </c>
      <c r="B76" s="1">
        <f t="array" ref="B76">MMULT(Returns!B76,Resume!$B$38)</f>
        <v>0</v>
      </c>
    </row>
    <row r="77" spans="1:2">
      <c r="A77" s="11">
        <f>Returns!A77</f>
        <v>0</v>
      </c>
      <c r="B77" s="1">
        <f t="array" ref="B77">MMULT(Returns!B77,Resume!$B$38)</f>
        <v>0</v>
      </c>
    </row>
    <row r="78" spans="1:2">
      <c r="A78" s="11">
        <f>Returns!A78</f>
        <v>0</v>
      </c>
      <c r="B78" s="1">
        <f t="array" ref="B78">MMULT(Returns!B78,Resume!$B$38)</f>
        <v>0</v>
      </c>
    </row>
    <row r="79" spans="1:2">
      <c r="A79" s="11">
        <f>Returns!A79</f>
        <v>0</v>
      </c>
      <c r="B79" s="1">
        <f t="array" ref="B79">MMULT(Returns!B79,Resume!$B$38)</f>
        <v>0</v>
      </c>
    </row>
    <row r="80" spans="1:2">
      <c r="A80" s="11">
        <f>Returns!A80</f>
        <v>0</v>
      </c>
      <c r="B80" s="1">
        <f t="array" ref="B80">MMULT(Returns!B80,Resume!$B$38)</f>
        <v>0</v>
      </c>
    </row>
    <row r="81" spans="1:2">
      <c r="A81" s="11">
        <f>Returns!A81</f>
        <v>0</v>
      </c>
      <c r="B81" s="1">
        <f t="array" ref="B81">MMULT(Returns!B81,Resume!$B$38)</f>
        <v>0</v>
      </c>
    </row>
    <row r="82" spans="1:2">
      <c r="A82" s="11">
        <f>Returns!A82</f>
        <v>0</v>
      </c>
      <c r="B82" s="1">
        <f t="array" ref="B82">MMULT(Returns!B82,Resume!$B$38)</f>
        <v>0</v>
      </c>
    </row>
    <row r="83" spans="1:2">
      <c r="A83" s="11">
        <f>Returns!A83</f>
        <v>0</v>
      </c>
      <c r="B83" s="1">
        <f t="array" ref="B83">MMULT(Returns!B83,Resume!$B$38)</f>
        <v>0</v>
      </c>
    </row>
    <row r="84" spans="1:2">
      <c r="A84" s="11">
        <f>Returns!A84</f>
        <v>0</v>
      </c>
      <c r="B84" s="1">
        <f t="array" ref="B84">MMULT(Returns!B84,Resume!$B$38)</f>
        <v>0</v>
      </c>
    </row>
    <row r="85" spans="1:2">
      <c r="A85" s="11">
        <f>Returns!A85</f>
        <v>0</v>
      </c>
      <c r="B85" s="1">
        <f t="array" ref="B85">MMULT(Returns!B85,Resume!$B$38)</f>
        <v>0</v>
      </c>
    </row>
    <row r="86" spans="1:2">
      <c r="A86" s="11">
        <f>Returns!A86</f>
        <v>0</v>
      </c>
      <c r="B86" s="1">
        <f t="array" ref="B86">MMULT(Returns!B86,Resume!$B$38)</f>
        <v>0</v>
      </c>
    </row>
    <row r="87" spans="1:2">
      <c r="A87" s="11">
        <f>Returns!A87</f>
        <v>0</v>
      </c>
      <c r="B87" s="1">
        <f t="array" ref="B87">MMULT(Returns!B87,Resume!$B$38)</f>
        <v>0</v>
      </c>
    </row>
    <row r="88" spans="1:2">
      <c r="A88" s="11">
        <f>Returns!A88</f>
        <v>0</v>
      </c>
      <c r="B88" s="1">
        <f t="array" ref="B88">MMULT(Returns!B88,Resume!$B$38)</f>
        <v>0</v>
      </c>
    </row>
    <row r="89" spans="1:2">
      <c r="A89" s="11">
        <f>Returns!A89</f>
        <v>0</v>
      </c>
      <c r="B89" s="1">
        <f t="array" ref="B89">MMULT(Returns!B89,Resume!$B$38)</f>
        <v>0</v>
      </c>
    </row>
    <row r="90" spans="1:2">
      <c r="A90" s="11">
        <f>Returns!A90</f>
        <v>0</v>
      </c>
      <c r="B90" s="1">
        <f t="array" ref="B90">MMULT(Returns!B90,Resume!$B$38)</f>
        <v>0</v>
      </c>
    </row>
    <row r="91" spans="1:2">
      <c r="A91" s="11">
        <f>Returns!A91</f>
        <v>0</v>
      </c>
      <c r="B91" s="1">
        <f t="array" ref="B91">MMULT(Returns!B91,Resume!$B$38)</f>
        <v>0</v>
      </c>
    </row>
    <row r="92" spans="1:2">
      <c r="A92" s="11">
        <f>Returns!A92</f>
        <v>0</v>
      </c>
      <c r="B92" s="1">
        <f t="array" ref="B92">MMULT(Returns!B92,Resume!$B$38)</f>
        <v>0</v>
      </c>
    </row>
    <row r="93" spans="1:2">
      <c r="A93" s="11">
        <f>Returns!A93</f>
        <v>0</v>
      </c>
      <c r="B93" s="1">
        <f t="array" ref="B93">MMULT(Returns!B93,Resume!$B$38)</f>
        <v>0</v>
      </c>
    </row>
    <row r="94" spans="1:2">
      <c r="A94" s="11">
        <f>Returns!A94</f>
        <v>0</v>
      </c>
      <c r="B94" s="1">
        <f t="array" ref="B94">MMULT(Returns!B94,Resume!$B$38)</f>
        <v>0</v>
      </c>
    </row>
    <row r="95" spans="1:2">
      <c r="A95" s="11">
        <f>Returns!A95</f>
        <v>0</v>
      </c>
      <c r="B95" s="1">
        <f t="array" ref="B95">MMULT(Returns!B95,Resume!$B$38)</f>
        <v>0</v>
      </c>
    </row>
    <row r="96" spans="1:2">
      <c r="A96" s="11">
        <f>Returns!A96</f>
        <v>0</v>
      </c>
      <c r="B96" s="1">
        <f t="array" ref="B96">MMULT(Returns!B96,Resume!$B$38)</f>
        <v>0</v>
      </c>
    </row>
    <row r="97" spans="1:2">
      <c r="A97" s="11">
        <f>Returns!A97</f>
        <v>0</v>
      </c>
      <c r="B97" s="1">
        <f t="array" ref="B97">MMULT(Returns!B97,Resume!$B$38)</f>
        <v>0</v>
      </c>
    </row>
    <row r="98" spans="1:2">
      <c r="A98" s="11">
        <f>Returns!A98</f>
        <v>0</v>
      </c>
      <c r="B98" s="1">
        <f t="array" ref="B98">MMULT(Returns!B98,Resume!$B$38)</f>
        <v>0</v>
      </c>
    </row>
    <row r="99" spans="1:2">
      <c r="A99" s="11">
        <f>Returns!A99</f>
        <v>0</v>
      </c>
      <c r="B99" s="1">
        <f t="array" ref="B99">MMULT(Returns!B99,Resume!$B$38)</f>
        <v>0</v>
      </c>
    </row>
    <row r="100" spans="1:2">
      <c r="A100" s="11">
        <f>Returns!A100</f>
        <v>0</v>
      </c>
      <c r="B100" s="1">
        <f t="array" ref="B100">MMULT(Returns!B100,Resume!$B$38)</f>
        <v>0</v>
      </c>
    </row>
    <row r="101" spans="1:2">
      <c r="A101" s="11">
        <f>Returns!A101</f>
        <v>0</v>
      </c>
      <c r="B101" s="1">
        <f t="array" ref="B101">MMULT(Returns!B101,Resume!$B$38)</f>
        <v>0</v>
      </c>
    </row>
    <row r="102" spans="1:2">
      <c r="A102" s="11">
        <f>Returns!A102</f>
        <v>0</v>
      </c>
      <c r="B102" s="1">
        <f t="array" ref="B102">MMULT(Returns!B102,Resume!$B$38)</f>
        <v>0</v>
      </c>
    </row>
    <row r="103" spans="1:2">
      <c r="A103" s="11">
        <f>Returns!A103</f>
        <v>0</v>
      </c>
      <c r="B103" s="1">
        <f t="array" ref="B103">MMULT(Returns!B103,Resume!$B$38)</f>
        <v>0</v>
      </c>
    </row>
    <row r="104" spans="1:2">
      <c r="A104" s="11">
        <f>Returns!A104</f>
        <v>0</v>
      </c>
      <c r="B104" s="1">
        <f t="array" ref="B104">MMULT(Returns!B104,Resume!$B$38)</f>
        <v>0</v>
      </c>
    </row>
    <row r="105" spans="1:2">
      <c r="A105" s="11">
        <f>Returns!A105</f>
        <v>0</v>
      </c>
      <c r="B105" s="1">
        <f t="array" ref="B105">MMULT(Returns!B105,Resume!$B$38)</f>
        <v>0</v>
      </c>
    </row>
    <row r="106" spans="1:2">
      <c r="A106" s="11">
        <f>Returns!A106</f>
        <v>0</v>
      </c>
      <c r="B106" s="1">
        <f t="array" ref="B106">MMULT(Returns!B106,Resume!$B$38)</f>
        <v>0</v>
      </c>
    </row>
    <row r="107" spans="1:2">
      <c r="A107" s="11">
        <f>Returns!A107</f>
        <v>0</v>
      </c>
      <c r="B107" s="1">
        <f t="array" ref="B107">MMULT(Returns!B107,Resume!$B$38)</f>
        <v>0</v>
      </c>
    </row>
    <row r="108" spans="1:2">
      <c r="A108" s="11">
        <f>Returns!A108</f>
        <v>0</v>
      </c>
      <c r="B108" s="1">
        <f t="array" ref="B108">MMULT(Returns!B108,Resume!$B$38)</f>
        <v>0</v>
      </c>
    </row>
    <row r="109" spans="1:2">
      <c r="A109" s="11">
        <f>Returns!A109</f>
        <v>0</v>
      </c>
      <c r="B109" s="1">
        <f t="array" ref="B109">MMULT(Returns!B109,Resume!$B$38)</f>
        <v>0</v>
      </c>
    </row>
    <row r="110" spans="1:2">
      <c r="A110" s="11">
        <f>Returns!A110</f>
        <v>0</v>
      </c>
      <c r="B110" s="1">
        <f t="array" ref="B110">MMULT(Returns!B110,Resume!$B$38)</f>
        <v>0</v>
      </c>
    </row>
    <row r="111" spans="1:2">
      <c r="A111" s="11">
        <f>Returns!A111</f>
        <v>0</v>
      </c>
      <c r="B111" s="1">
        <f t="array" ref="B111">MMULT(Returns!B111,Resume!$B$38)</f>
        <v>0</v>
      </c>
    </row>
    <row r="112" spans="1:2">
      <c r="A112" s="11">
        <f>Returns!A112</f>
        <v>0</v>
      </c>
      <c r="B112" s="1">
        <f t="array" ref="B112">MMULT(Returns!B112,Resume!$B$38)</f>
        <v>0</v>
      </c>
    </row>
    <row r="113" spans="1:2">
      <c r="A113" s="11">
        <f>Returns!A113</f>
        <v>0</v>
      </c>
      <c r="B113" s="1">
        <f t="array" ref="B113">MMULT(Returns!B113,Resume!$B$38)</f>
        <v>0</v>
      </c>
    </row>
    <row r="114" spans="1:2">
      <c r="A114" s="11">
        <f>Returns!A114</f>
        <v>0</v>
      </c>
      <c r="B114" s="1">
        <f t="array" ref="B114">MMULT(Returns!B114,Resume!$B$38)</f>
        <v>0</v>
      </c>
    </row>
    <row r="115" spans="1:2">
      <c r="A115" s="11">
        <f>Returns!A115</f>
        <v>0</v>
      </c>
      <c r="B115" s="1">
        <f t="array" ref="B115">MMULT(Returns!B115,Resume!$B$38)</f>
        <v>0</v>
      </c>
    </row>
    <row r="116" spans="1:2">
      <c r="A116" s="11">
        <f>Returns!A116</f>
        <v>0</v>
      </c>
      <c r="B116" s="1">
        <f t="array" ref="B116">MMULT(Returns!B116,Resume!$B$38)</f>
        <v>0</v>
      </c>
    </row>
    <row r="117" spans="1:2">
      <c r="A117" s="11">
        <f>Returns!A117</f>
        <v>0</v>
      </c>
      <c r="B117" s="1">
        <f t="array" ref="B117">MMULT(Returns!B117,Resume!$B$38)</f>
        <v>0</v>
      </c>
    </row>
    <row r="118" spans="1:2">
      <c r="A118" s="11">
        <f>Returns!A118</f>
        <v>0</v>
      </c>
      <c r="B118" s="1">
        <f t="array" ref="B118">MMULT(Returns!B118,Resume!$B$38)</f>
        <v>0</v>
      </c>
    </row>
    <row r="119" spans="1:2">
      <c r="A119" s="11">
        <f>Returns!A119</f>
        <v>0</v>
      </c>
      <c r="B119" s="1">
        <f t="array" ref="B119">MMULT(Returns!B119,Resume!$B$38)</f>
        <v>0</v>
      </c>
    </row>
    <row r="120" spans="1:2">
      <c r="A120" s="11">
        <f>Returns!A120</f>
        <v>0</v>
      </c>
      <c r="B120" s="1">
        <f t="array" ref="B120">MMULT(Returns!B120,Resume!$B$38)</f>
        <v>0</v>
      </c>
    </row>
    <row r="121" spans="1:2">
      <c r="A121" s="11">
        <f>Returns!A121</f>
        <v>0</v>
      </c>
      <c r="B121" s="1">
        <f t="array" ref="B121">MMULT(Returns!B121,Resume!$B$38)</f>
        <v>0</v>
      </c>
    </row>
    <row r="122" spans="1:2">
      <c r="A122" s="11">
        <f>Returns!A122</f>
        <v>0</v>
      </c>
      <c r="B122" s="1">
        <f t="array" ref="B122">MMULT(Returns!B122,Resume!$B$38)</f>
        <v>0</v>
      </c>
    </row>
    <row r="123" spans="1:2">
      <c r="A123" s="11">
        <f>Returns!A123</f>
        <v>0</v>
      </c>
      <c r="B123" s="1">
        <f t="array" ref="B123">MMULT(Returns!B123,Resume!$B$38)</f>
        <v>0</v>
      </c>
    </row>
    <row r="124" spans="1:2">
      <c r="A124" s="11">
        <f>Returns!A124</f>
        <v>0</v>
      </c>
      <c r="B124" s="1">
        <f t="array" ref="B124">MMULT(Returns!B124,Resume!$B$38)</f>
        <v>0</v>
      </c>
    </row>
    <row r="125" spans="1:2">
      <c r="A125" s="11">
        <f>Returns!A125</f>
        <v>0</v>
      </c>
      <c r="B125" s="1">
        <f t="array" ref="B125">MMULT(Returns!B125,Resume!$B$38)</f>
        <v>0</v>
      </c>
    </row>
    <row r="126" spans="1:2">
      <c r="A126" s="11">
        <f>Returns!A126</f>
        <v>0</v>
      </c>
      <c r="B126" s="1">
        <f t="array" ref="B126">MMULT(Returns!B126,Resume!$B$38)</f>
        <v>0</v>
      </c>
    </row>
    <row r="127" spans="1:2">
      <c r="A127" s="11">
        <f>Returns!A127</f>
        <v>0</v>
      </c>
      <c r="B127" s="1">
        <f t="array" ref="B127">MMULT(Returns!B127,Resume!$B$38)</f>
        <v>0</v>
      </c>
    </row>
    <row r="128" spans="1:2">
      <c r="A128" s="11">
        <f>Returns!A128</f>
        <v>0</v>
      </c>
      <c r="B128" s="1">
        <f t="array" ref="B128">MMULT(Returns!B128,Resume!$B$38)</f>
        <v>0</v>
      </c>
    </row>
    <row r="129" spans="1:2">
      <c r="A129" s="11">
        <f>Returns!A129</f>
        <v>0</v>
      </c>
      <c r="B129" s="1">
        <f t="array" ref="B129">MMULT(Returns!B129,Resume!$B$38)</f>
        <v>0</v>
      </c>
    </row>
    <row r="130" spans="1:2">
      <c r="A130" s="11">
        <f>Returns!A130</f>
        <v>0</v>
      </c>
      <c r="B130" s="1">
        <f t="array" ref="B130">MMULT(Returns!B130,Resume!$B$38)</f>
        <v>0</v>
      </c>
    </row>
    <row r="131" spans="1:2">
      <c r="A131" s="11">
        <f>Returns!A131</f>
        <v>0</v>
      </c>
      <c r="B131" s="1">
        <f t="array" ref="B131">MMULT(Returns!B131,Resume!$B$38)</f>
        <v>0</v>
      </c>
    </row>
    <row r="132" spans="1:2">
      <c r="A132" s="11">
        <f>Returns!A132</f>
        <v>0</v>
      </c>
      <c r="B132" s="1">
        <f t="array" ref="B132">MMULT(Returns!B132,Resume!$B$38)</f>
        <v>0</v>
      </c>
    </row>
    <row r="133" spans="1:2">
      <c r="A133" s="11">
        <f>Returns!A133</f>
        <v>0</v>
      </c>
      <c r="B133" s="1">
        <f t="array" ref="B133">MMULT(Returns!B133,Resume!$B$38)</f>
        <v>0</v>
      </c>
    </row>
    <row r="134" spans="1:2">
      <c r="A134" s="11">
        <f>Returns!A134</f>
        <v>0</v>
      </c>
      <c r="B134" s="1">
        <f t="array" ref="B134">MMULT(Returns!B134,Resume!$B$38)</f>
        <v>0</v>
      </c>
    </row>
    <row r="135" spans="1:2">
      <c r="A135" s="11">
        <f>Returns!A135</f>
        <v>0</v>
      </c>
      <c r="B135" s="1">
        <f t="array" ref="B135">MMULT(Returns!B135,Resume!$B$38)</f>
        <v>0</v>
      </c>
    </row>
    <row r="136" spans="1:2">
      <c r="A136" s="11">
        <f>Returns!A136</f>
        <v>0</v>
      </c>
      <c r="B136" s="1">
        <f t="array" ref="B136">MMULT(Returns!B136,Resume!$B$38)</f>
        <v>0</v>
      </c>
    </row>
    <row r="137" spans="1:2">
      <c r="A137" s="11">
        <f>Returns!A137</f>
        <v>0</v>
      </c>
      <c r="B137" s="1">
        <f t="array" ref="B137">MMULT(Returns!B137,Resume!$B$38)</f>
        <v>0</v>
      </c>
    </row>
    <row r="138" spans="1:2">
      <c r="A138" s="11">
        <f>Returns!A138</f>
        <v>0</v>
      </c>
      <c r="B138" s="1">
        <f t="array" ref="B138">MMULT(Returns!B138,Resume!$B$38)</f>
        <v>0</v>
      </c>
    </row>
    <row r="139" spans="1:2">
      <c r="A139" s="11">
        <f>Returns!A139</f>
        <v>0</v>
      </c>
      <c r="B139" s="1">
        <f t="array" ref="B139">MMULT(Returns!B139,Resume!$B$38)</f>
        <v>0</v>
      </c>
    </row>
    <row r="140" spans="1:2">
      <c r="A140" s="11">
        <f>Returns!A140</f>
        <v>0</v>
      </c>
      <c r="B140" s="1">
        <f t="array" ref="B140">MMULT(Returns!B140,Resume!$B$38)</f>
        <v>0</v>
      </c>
    </row>
    <row r="141" spans="1:2">
      <c r="A141" s="11">
        <f>Returns!A141</f>
        <v>0</v>
      </c>
      <c r="B141" s="1">
        <f t="array" ref="B141">MMULT(Returns!B141,Resume!$B$38)</f>
        <v>0</v>
      </c>
    </row>
    <row r="142" spans="1:2">
      <c r="A142" s="11">
        <f>Returns!A142</f>
        <v>0</v>
      </c>
      <c r="B142" s="1">
        <f t="array" ref="B142">MMULT(Returns!B142,Resume!$B$38)</f>
        <v>0</v>
      </c>
    </row>
    <row r="143" spans="1:2">
      <c r="A143" s="11">
        <f>Returns!A143</f>
        <v>0</v>
      </c>
      <c r="B143" s="1">
        <f t="array" ref="B143">MMULT(Returns!B143,Resume!$B$38)</f>
        <v>0</v>
      </c>
    </row>
    <row r="144" spans="1:2">
      <c r="A144" s="11">
        <f>Returns!A144</f>
        <v>0</v>
      </c>
      <c r="B144" s="1">
        <f t="array" ref="B144">MMULT(Returns!B144,Resume!$B$38)</f>
        <v>0</v>
      </c>
    </row>
    <row r="145" spans="1:2">
      <c r="A145" s="11">
        <f>Returns!A145</f>
        <v>0</v>
      </c>
      <c r="B145" s="1">
        <f t="array" ref="B145">MMULT(Returns!B145,Resume!$B$38)</f>
        <v>0</v>
      </c>
    </row>
    <row r="146" spans="1:2">
      <c r="A146" s="11">
        <f>Returns!A146</f>
        <v>0</v>
      </c>
      <c r="B146" s="1">
        <f t="array" ref="B146">MMULT(Returns!B146,Resume!$B$38)</f>
        <v>0</v>
      </c>
    </row>
    <row r="147" spans="1:2">
      <c r="A147" s="11">
        <f>Returns!A147</f>
        <v>0</v>
      </c>
      <c r="B147" s="1">
        <f t="array" ref="B147">MMULT(Returns!B147,Resume!$B$38)</f>
        <v>0</v>
      </c>
    </row>
    <row r="148" spans="1:2">
      <c r="A148" s="11">
        <f>Returns!A148</f>
        <v>0</v>
      </c>
      <c r="B148" s="1">
        <f t="array" ref="B148">MMULT(Returns!B148,Resume!$B$38)</f>
        <v>0</v>
      </c>
    </row>
    <row r="149" spans="1:2">
      <c r="A149" s="11">
        <f>Returns!A149</f>
        <v>0</v>
      </c>
      <c r="B149" s="1">
        <f t="array" ref="B149">MMULT(Returns!B149,Resume!$B$38)</f>
        <v>0</v>
      </c>
    </row>
    <row r="150" spans="1:2">
      <c r="A150" s="11">
        <f>Returns!A150</f>
        <v>0</v>
      </c>
      <c r="B150" s="1">
        <f t="array" ref="B150">MMULT(Returns!B150,Resume!$B$38)</f>
        <v>0</v>
      </c>
    </row>
    <row r="151" spans="1:2">
      <c r="A151" s="11">
        <f>Returns!A151</f>
        <v>0</v>
      </c>
      <c r="B151" s="1">
        <f t="array" ref="B151">MMULT(Returns!B151,Resume!$B$38)</f>
        <v>0</v>
      </c>
    </row>
    <row r="152" spans="1:2">
      <c r="A152" s="11">
        <f>Returns!A152</f>
        <v>0</v>
      </c>
      <c r="B152" s="1">
        <f t="array" ref="B152">MMULT(Returns!B152,Resume!$B$38)</f>
        <v>0</v>
      </c>
    </row>
    <row r="153" spans="1:2">
      <c r="A153" s="11">
        <f>Returns!A153</f>
        <v>0</v>
      </c>
      <c r="B153" s="1">
        <f t="array" ref="B153">MMULT(Returns!B153,Resume!$B$38)</f>
        <v>0</v>
      </c>
    </row>
    <row r="154" spans="1:2">
      <c r="A154" s="11">
        <f>Returns!A154</f>
        <v>0</v>
      </c>
      <c r="B154" s="1">
        <f t="array" ref="B154">MMULT(Returns!B154,Resume!$B$38)</f>
        <v>0</v>
      </c>
    </row>
    <row r="155" spans="1:2">
      <c r="A155" s="11">
        <f>Returns!A155</f>
        <v>0</v>
      </c>
      <c r="B155" s="1">
        <f t="array" ref="B155">MMULT(Returns!B155,Resume!$B$38)</f>
        <v>0</v>
      </c>
    </row>
    <row r="156" spans="1:2">
      <c r="A156" s="11">
        <f>Returns!A156</f>
        <v>0</v>
      </c>
      <c r="B156" s="1">
        <f t="array" ref="B156">MMULT(Returns!B156,Resume!$B$38)</f>
        <v>0</v>
      </c>
    </row>
    <row r="157" spans="1:2">
      <c r="A157" s="11">
        <f>Returns!A157</f>
        <v>0</v>
      </c>
      <c r="B157" s="1">
        <f t="array" ref="B157">MMULT(Returns!B157,Resume!$B$38)</f>
        <v>0</v>
      </c>
    </row>
    <row r="158" spans="1:2">
      <c r="A158" s="11">
        <f>Returns!A158</f>
        <v>0</v>
      </c>
      <c r="B158" s="1">
        <f t="array" ref="B158">MMULT(Returns!B158,Resume!$B$38)</f>
        <v>0</v>
      </c>
    </row>
    <row r="159" spans="1:2">
      <c r="A159" s="11">
        <f>Returns!A159</f>
        <v>0</v>
      </c>
      <c r="B159" s="1">
        <f t="array" ref="B159">MMULT(Returns!B159,Resume!$B$38)</f>
        <v>0</v>
      </c>
    </row>
    <row r="160" spans="1:2">
      <c r="A160" s="11">
        <f>Returns!A160</f>
        <v>0</v>
      </c>
      <c r="B160" s="1">
        <f t="array" ref="B160">MMULT(Returns!B160,Resume!$B$38)</f>
        <v>0</v>
      </c>
    </row>
    <row r="161" spans="1:2">
      <c r="A161" s="11">
        <f>Returns!A161</f>
        <v>0</v>
      </c>
      <c r="B161" s="1">
        <f t="array" ref="B161">MMULT(Returns!B161,Resume!$B$38)</f>
        <v>0</v>
      </c>
    </row>
    <row r="162" spans="1:2">
      <c r="A162" s="11">
        <f>Returns!A162</f>
        <v>0</v>
      </c>
      <c r="B162" s="1">
        <f t="array" ref="B162">MMULT(Returns!B162,Resume!$B$38)</f>
        <v>0</v>
      </c>
    </row>
    <row r="163" spans="1:2">
      <c r="A163" s="11">
        <f>Returns!A163</f>
        <v>0</v>
      </c>
      <c r="B163" s="1">
        <f t="array" ref="B163">MMULT(Returns!B163,Resume!$B$38)</f>
        <v>0</v>
      </c>
    </row>
    <row r="164" spans="1:2">
      <c r="A164" s="11">
        <f>Returns!A164</f>
        <v>0</v>
      </c>
      <c r="B164" s="1">
        <f t="array" ref="B164">MMULT(Returns!B164,Resume!$B$38)</f>
        <v>0</v>
      </c>
    </row>
    <row r="165" spans="1:2">
      <c r="A165" s="11">
        <f>Returns!A165</f>
        <v>0</v>
      </c>
      <c r="B165" s="1">
        <f t="array" ref="B165">MMULT(Returns!B165,Resume!$B$38)</f>
        <v>0</v>
      </c>
    </row>
    <row r="166" spans="1:2">
      <c r="A166" s="11">
        <f>Returns!A166</f>
        <v>0</v>
      </c>
      <c r="B166" s="1">
        <f t="array" ref="B166">MMULT(Returns!B166,Resume!$B$38)</f>
        <v>0</v>
      </c>
    </row>
    <row r="167" spans="1:2">
      <c r="A167" s="11">
        <f>Returns!A167</f>
        <v>0</v>
      </c>
      <c r="B167" s="1">
        <f t="array" ref="B167">MMULT(Returns!B167,Resume!$B$38)</f>
        <v>0</v>
      </c>
    </row>
    <row r="168" spans="1:2">
      <c r="A168" s="11">
        <f>Returns!A168</f>
        <v>0</v>
      </c>
      <c r="B168" s="1">
        <f t="array" ref="B168">MMULT(Returns!B168,Resume!$B$38)</f>
        <v>0</v>
      </c>
    </row>
    <row r="169" spans="1:2">
      <c r="A169" s="11">
        <f>Returns!A169</f>
        <v>0</v>
      </c>
      <c r="B169" s="1">
        <f t="array" ref="B169">MMULT(Returns!B169,Resume!$B$38)</f>
        <v>0</v>
      </c>
    </row>
    <row r="170" spans="1:2">
      <c r="A170" s="11">
        <f>Returns!A170</f>
        <v>0</v>
      </c>
      <c r="B170" s="1">
        <f t="array" ref="B170">MMULT(Returns!B170,Resume!$B$38)</f>
        <v>0</v>
      </c>
    </row>
    <row r="171" spans="1:2">
      <c r="A171" s="11">
        <f>Returns!A171</f>
        <v>0</v>
      </c>
      <c r="B171" s="1">
        <f t="array" ref="B171">MMULT(Returns!B171,Resume!$B$38)</f>
        <v>0</v>
      </c>
    </row>
    <row r="172" spans="1:2">
      <c r="A172" s="11">
        <f>Returns!A172</f>
        <v>0</v>
      </c>
      <c r="B172" s="1">
        <f t="array" ref="B172">MMULT(Returns!B172,Resume!$B$38)</f>
        <v>0</v>
      </c>
    </row>
    <row r="173" spans="1:2">
      <c r="A173" s="11">
        <f>Returns!A173</f>
        <v>0</v>
      </c>
      <c r="B173" s="1">
        <f t="array" ref="B173">MMULT(Returns!B173,Resume!$B$38)</f>
        <v>0</v>
      </c>
    </row>
    <row r="174" spans="1:2">
      <c r="A174" s="11">
        <f>Returns!A174</f>
        <v>0</v>
      </c>
      <c r="B174" s="1">
        <f t="array" ref="B174">MMULT(Returns!B174,Resume!$B$38)</f>
        <v>0</v>
      </c>
    </row>
    <row r="175" spans="1:2">
      <c r="A175" s="11">
        <f>Returns!A175</f>
        <v>0</v>
      </c>
      <c r="B175" s="1">
        <f t="array" ref="B175">MMULT(Returns!B175,Resume!$B$38)</f>
        <v>0</v>
      </c>
    </row>
    <row r="176" spans="1:2">
      <c r="A176" s="11">
        <f>Returns!A176</f>
        <v>0</v>
      </c>
      <c r="B176" s="1">
        <f t="array" ref="B176">MMULT(Returns!B176,Resume!$B$38)</f>
        <v>0</v>
      </c>
    </row>
    <row r="177" spans="1:2">
      <c r="A177" s="11">
        <f>Returns!A177</f>
        <v>0</v>
      </c>
      <c r="B177" s="1">
        <f t="array" ref="B177">MMULT(Returns!B177,Resume!$B$38)</f>
        <v>0</v>
      </c>
    </row>
    <row r="178" spans="1:2">
      <c r="A178" s="11">
        <f>Returns!A178</f>
        <v>0</v>
      </c>
      <c r="B178" s="1">
        <f t="array" ref="B178">MMULT(Returns!B178,Resume!$B$38)</f>
        <v>0</v>
      </c>
    </row>
    <row r="179" spans="1:2">
      <c r="A179" s="11">
        <f>Returns!A179</f>
        <v>0</v>
      </c>
      <c r="B179" s="1">
        <f t="array" ref="B179">MMULT(Returns!B179,Resume!$B$38)</f>
        <v>0</v>
      </c>
    </row>
    <row r="180" spans="1:2">
      <c r="A180" s="11">
        <f>Returns!A180</f>
        <v>0</v>
      </c>
      <c r="B180" s="1">
        <f t="array" ref="B180">MMULT(Returns!B180,Resume!$B$38)</f>
        <v>0</v>
      </c>
    </row>
    <row r="181" spans="1:2">
      <c r="A181" s="11">
        <f>Returns!A181</f>
        <v>0</v>
      </c>
      <c r="B181" s="1">
        <f t="array" ref="B181">MMULT(Returns!B181,Resume!$B$38)</f>
        <v>0</v>
      </c>
    </row>
    <row r="182" spans="1:2">
      <c r="A182" s="11">
        <f>Returns!A182</f>
        <v>0</v>
      </c>
      <c r="B182" s="1">
        <f t="array" ref="B182">MMULT(Returns!B182,Resume!$B$38)</f>
        <v>0</v>
      </c>
    </row>
    <row r="183" spans="1:2">
      <c r="A183" s="11">
        <f>Returns!A183</f>
        <v>0</v>
      </c>
      <c r="B183" s="1">
        <f t="array" ref="B183">MMULT(Returns!B183,Resume!$B$38)</f>
        <v>0</v>
      </c>
    </row>
    <row r="184" spans="1:2">
      <c r="A184" s="11">
        <f>Returns!A184</f>
        <v>0</v>
      </c>
      <c r="B184" s="1">
        <f t="array" ref="B184">MMULT(Returns!B184,Resume!$B$38)</f>
        <v>0</v>
      </c>
    </row>
    <row r="185" spans="1:2">
      <c r="A185" s="11">
        <f>Returns!A185</f>
        <v>0</v>
      </c>
      <c r="B185" s="1">
        <f t="array" ref="B185">MMULT(Returns!B185,Resume!$B$38)</f>
        <v>0</v>
      </c>
    </row>
    <row r="186" spans="1:2">
      <c r="A186" s="11">
        <f>Returns!A186</f>
        <v>0</v>
      </c>
      <c r="B186" s="1">
        <f t="array" ref="B186">MMULT(Returns!B186,Resume!$B$38)</f>
        <v>0</v>
      </c>
    </row>
    <row r="187" spans="1:2">
      <c r="A187" s="11">
        <f>Returns!A187</f>
        <v>0</v>
      </c>
      <c r="B187" s="1">
        <f t="array" ref="B187">MMULT(Returns!B187,Resume!$B$38)</f>
        <v>0</v>
      </c>
    </row>
    <row r="188" spans="1:2">
      <c r="A188" s="11">
        <f>Returns!A188</f>
        <v>0</v>
      </c>
      <c r="B188" s="1">
        <f t="array" ref="B188">MMULT(Returns!B188,Resume!$B$38)</f>
        <v>0</v>
      </c>
    </row>
    <row r="189" spans="1:2">
      <c r="A189" s="11">
        <f>Returns!A189</f>
        <v>0</v>
      </c>
      <c r="B189" s="1">
        <f t="array" ref="B189">MMULT(Returns!B189,Resume!$B$38)</f>
        <v>0</v>
      </c>
    </row>
    <row r="190" spans="1:2">
      <c r="A190" s="11">
        <f>Returns!A190</f>
        <v>0</v>
      </c>
      <c r="B190" s="1">
        <f t="array" ref="B190">MMULT(Returns!B190,Resume!$B$38)</f>
        <v>0</v>
      </c>
    </row>
    <row r="191" spans="1:2">
      <c r="A191" s="11">
        <f>Returns!A191</f>
        <v>0</v>
      </c>
      <c r="B191" s="1">
        <f t="array" ref="B191">MMULT(Returns!B191,Resume!$B$38)</f>
        <v>0</v>
      </c>
    </row>
    <row r="192" spans="1:2">
      <c r="A192" s="11">
        <f>Returns!A192</f>
        <v>0</v>
      </c>
      <c r="B192" s="1">
        <f t="array" ref="B192">MMULT(Returns!B192,Resume!$B$38)</f>
        <v>0</v>
      </c>
    </row>
    <row r="193" spans="1:2">
      <c r="A193" s="11">
        <f>Returns!A193</f>
        <v>0</v>
      </c>
      <c r="B193" s="1">
        <f t="array" ref="B193">MMULT(Returns!B193,Resume!$B$38)</f>
        <v>0</v>
      </c>
    </row>
    <row r="194" spans="1:2">
      <c r="A194" s="11">
        <f>Returns!A194</f>
        <v>0</v>
      </c>
      <c r="B194" s="1">
        <f t="array" ref="B194">MMULT(Returns!B194,Resume!$B$38)</f>
        <v>0</v>
      </c>
    </row>
    <row r="195" spans="1:2">
      <c r="A195" s="11">
        <f>Returns!A195</f>
        <v>0</v>
      </c>
      <c r="B195" s="1">
        <f t="array" ref="B195">MMULT(Returns!B195,Resume!$B$38)</f>
        <v>0</v>
      </c>
    </row>
    <row r="196" spans="1:2">
      <c r="A196" s="11">
        <f>Returns!A196</f>
        <v>0</v>
      </c>
      <c r="B196" s="1">
        <f t="array" ref="B196">MMULT(Returns!B196,Resume!$B$38)</f>
        <v>0</v>
      </c>
    </row>
    <row r="197" spans="1:2">
      <c r="A197" s="11">
        <f>Returns!A197</f>
        <v>0</v>
      </c>
      <c r="B197" s="1">
        <f t="array" ref="B197">MMULT(Returns!B197,Resume!$B$38)</f>
        <v>0</v>
      </c>
    </row>
    <row r="198" spans="1:2">
      <c r="A198" s="11">
        <f>Returns!A198</f>
        <v>0</v>
      </c>
      <c r="B198" s="1">
        <f t="array" ref="B198">MMULT(Returns!B198,Resume!$B$38)</f>
        <v>0</v>
      </c>
    </row>
    <row r="199" spans="1:2">
      <c r="A199" s="11">
        <f>Returns!A199</f>
        <v>0</v>
      </c>
      <c r="B199" s="1">
        <f t="array" ref="B199">MMULT(Returns!B199,Resume!$B$38)</f>
        <v>0</v>
      </c>
    </row>
    <row r="200" spans="1:2">
      <c r="A200" s="11">
        <f>Returns!A200</f>
        <v>0</v>
      </c>
      <c r="B200" s="1">
        <f t="array" ref="B200">MMULT(Returns!B200,Resume!$B$38)</f>
        <v>0</v>
      </c>
    </row>
    <row r="201" spans="1:2">
      <c r="A201" s="11">
        <f>Returns!A201</f>
        <v>0</v>
      </c>
      <c r="B201" s="1">
        <f t="array" ref="B201">MMULT(Returns!B201,Resume!$B$38)</f>
        <v>0</v>
      </c>
    </row>
    <row r="202" spans="1:2">
      <c r="A202" s="11">
        <f>Returns!A202</f>
        <v>0</v>
      </c>
      <c r="B202" s="1">
        <f t="array" ref="B202">MMULT(Returns!B202,Resume!$B$38)</f>
        <v>0</v>
      </c>
    </row>
    <row r="203" spans="1:2">
      <c r="A203" s="11">
        <f>Returns!A203</f>
        <v>0</v>
      </c>
      <c r="B203" s="1">
        <f t="array" ref="B203">MMULT(Returns!B203,Resume!$B$38)</f>
        <v>0</v>
      </c>
    </row>
    <row r="204" spans="1:2">
      <c r="A204" s="11">
        <f>Returns!A204</f>
        <v>0</v>
      </c>
      <c r="B204" s="1">
        <f t="array" ref="B204">MMULT(Returns!B204,Resume!$B$38)</f>
        <v>0</v>
      </c>
    </row>
    <row r="205" spans="1:2">
      <c r="A205" s="11">
        <f>Returns!A205</f>
        <v>0</v>
      </c>
      <c r="B205" s="1">
        <f t="array" ref="B205">MMULT(Returns!B205,Resume!$B$38)</f>
        <v>0</v>
      </c>
    </row>
    <row r="206" spans="1:2">
      <c r="A206" s="11">
        <f>Returns!A206</f>
        <v>0</v>
      </c>
      <c r="B206" s="1">
        <f t="array" ref="B206">MMULT(Returns!B206,Resume!$B$38)</f>
        <v>0</v>
      </c>
    </row>
    <row r="207" spans="1:2">
      <c r="A207" s="11">
        <f>Returns!A207</f>
        <v>0</v>
      </c>
      <c r="B207" s="1">
        <f t="array" ref="B207">MMULT(Returns!B207,Resume!$B$38)</f>
        <v>0</v>
      </c>
    </row>
    <row r="208" spans="1:2">
      <c r="A208" s="11">
        <f>Returns!A208</f>
        <v>0</v>
      </c>
      <c r="B208" s="1">
        <f t="array" ref="B208">MMULT(Returns!B208,Resume!$B$38)</f>
        <v>0</v>
      </c>
    </row>
    <row r="209" spans="1:2">
      <c r="A209" s="11">
        <f>Returns!A209</f>
        <v>0</v>
      </c>
      <c r="B209" s="1">
        <f t="array" ref="B209">MMULT(Returns!B209,Resume!$B$38)</f>
        <v>0</v>
      </c>
    </row>
    <row r="210" spans="1:2">
      <c r="A210" s="11">
        <f>Returns!A210</f>
        <v>0</v>
      </c>
      <c r="B210" s="1">
        <f t="array" ref="B210">MMULT(Returns!B210,Resume!$B$38)</f>
        <v>0</v>
      </c>
    </row>
    <row r="211" spans="1:2">
      <c r="A211" s="11">
        <f>Returns!A211</f>
        <v>0</v>
      </c>
      <c r="B211" s="1">
        <f t="array" ref="B211">MMULT(Returns!B211,Resume!$B$38)</f>
        <v>0</v>
      </c>
    </row>
    <row r="212" spans="1:2">
      <c r="A212" s="11">
        <f>Returns!A212</f>
        <v>0</v>
      </c>
      <c r="B212" s="1">
        <f t="array" ref="B212">MMULT(Returns!B212,Resume!$B$38)</f>
        <v>0</v>
      </c>
    </row>
    <row r="213" spans="1:2">
      <c r="A213" s="11">
        <f>Returns!A213</f>
        <v>0</v>
      </c>
      <c r="B213" s="1">
        <f t="array" ref="B213">MMULT(Returns!B213,Resume!$B$38)</f>
        <v>0</v>
      </c>
    </row>
    <row r="214" spans="1:2">
      <c r="A214" s="11">
        <f>Returns!A214</f>
        <v>0</v>
      </c>
      <c r="B214" s="1">
        <f t="array" ref="B214">MMULT(Returns!B214,Resume!$B$38)</f>
        <v>0</v>
      </c>
    </row>
    <row r="215" spans="1:2">
      <c r="A215" s="11">
        <f>Returns!A215</f>
        <v>0</v>
      </c>
      <c r="B215" s="1">
        <f t="array" ref="B215">MMULT(Returns!B215,Resume!$B$38)</f>
        <v>0</v>
      </c>
    </row>
    <row r="216" spans="1:2">
      <c r="A216" s="11">
        <f>Returns!A216</f>
        <v>0</v>
      </c>
      <c r="B216" s="1">
        <f t="array" ref="B216">MMULT(Returns!B216,Resume!$B$38)</f>
        <v>0</v>
      </c>
    </row>
    <row r="217" spans="1:2">
      <c r="A217" s="11">
        <f>Returns!A217</f>
        <v>0</v>
      </c>
      <c r="B217" s="1">
        <f t="array" ref="B217">MMULT(Returns!B217,Resume!$B$38)</f>
        <v>0</v>
      </c>
    </row>
    <row r="218" spans="1:2">
      <c r="A218" s="11">
        <f>Returns!A218</f>
        <v>0</v>
      </c>
      <c r="B218" s="1">
        <f t="array" ref="B218">MMULT(Returns!B218,Resume!$B$38)</f>
        <v>0</v>
      </c>
    </row>
    <row r="219" spans="1:2">
      <c r="A219" s="11">
        <f>Returns!A219</f>
        <v>0</v>
      </c>
      <c r="B219" s="1">
        <f t="array" ref="B219">MMULT(Returns!B219,Resume!$B$38)</f>
        <v>0</v>
      </c>
    </row>
    <row r="220" spans="1:2">
      <c r="A220" s="11">
        <f>Returns!A220</f>
        <v>0</v>
      </c>
      <c r="B220" s="1">
        <f t="array" ref="B220">MMULT(Returns!B220,Resume!$B$38)</f>
        <v>0</v>
      </c>
    </row>
    <row r="221" spans="1:2">
      <c r="A221" s="11">
        <f>Returns!A221</f>
        <v>0</v>
      </c>
      <c r="B221" s="1">
        <f t="array" ref="B221">MMULT(Returns!B221,Resume!$B$38)</f>
        <v>0</v>
      </c>
    </row>
    <row r="222" spans="1:2">
      <c r="A222" s="11">
        <f>Returns!A222</f>
        <v>0</v>
      </c>
      <c r="B222" s="1">
        <f t="array" ref="B222">MMULT(Returns!B222,Resume!$B$38)</f>
        <v>0</v>
      </c>
    </row>
    <row r="223" spans="1:2">
      <c r="A223" s="11">
        <f>Returns!A223</f>
        <v>0</v>
      </c>
      <c r="B223" s="1">
        <f t="array" ref="B223">MMULT(Returns!B223,Resume!$B$38)</f>
        <v>0</v>
      </c>
    </row>
    <row r="224" spans="1:2">
      <c r="A224" s="11">
        <f>Returns!A224</f>
        <v>0</v>
      </c>
      <c r="B224" s="1">
        <f t="array" ref="B224">MMULT(Returns!B224,Resume!$B$38)</f>
        <v>0</v>
      </c>
    </row>
    <row r="225" spans="1:2">
      <c r="A225" s="11">
        <f>Returns!A225</f>
        <v>0</v>
      </c>
      <c r="B225" s="1">
        <f t="array" ref="B225">MMULT(Returns!B225,Resume!$B$38)</f>
        <v>0</v>
      </c>
    </row>
    <row r="226" spans="1:2">
      <c r="A226" s="11">
        <f>Returns!A226</f>
        <v>0</v>
      </c>
      <c r="B226" s="1">
        <f t="array" ref="B226">MMULT(Returns!B226,Resume!$B$38)</f>
        <v>0</v>
      </c>
    </row>
    <row r="227" spans="1:2">
      <c r="A227" s="11">
        <f>Returns!A227</f>
        <v>0</v>
      </c>
      <c r="B227" s="1">
        <f t="array" ref="B227">MMULT(Returns!B227,Resume!$B$38)</f>
        <v>0</v>
      </c>
    </row>
    <row r="228" spans="1:2">
      <c r="A228" s="11">
        <f>Returns!A228</f>
        <v>0</v>
      </c>
      <c r="B228" s="1">
        <f t="array" ref="B228">MMULT(Returns!B228,Resume!$B$38)</f>
        <v>0</v>
      </c>
    </row>
    <row r="229" spans="1:2">
      <c r="A229" s="11">
        <f>Returns!A229</f>
        <v>0</v>
      </c>
      <c r="B229" s="1">
        <f t="array" ref="B229">MMULT(Returns!B229,Resume!$B$38)</f>
        <v>0</v>
      </c>
    </row>
    <row r="230" spans="1:2">
      <c r="A230" s="11">
        <f>Returns!A230</f>
        <v>0</v>
      </c>
      <c r="B230" s="1">
        <f t="array" ref="B230">MMULT(Returns!B230,Resume!$B$38)</f>
        <v>0</v>
      </c>
    </row>
    <row r="231" spans="1:2">
      <c r="A231" s="11">
        <f>Returns!A231</f>
        <v>0</v>
      </c>
      <c r="B231" s="1">
        <f t="array" ref="B231">MMULT(Returns!B231,Resume!$B$38)</f>
        <v>0</v>
      </c>
    </row>
    <row r="232" spans="1:2">
      <c r="A232" s="11">
        <f>Returns!A232</f>
        <v>0</v>
      </c>
      <c r="B232" s="1">
        <f t="array" ref="B232">MMULT(Returns!B232,Resume!$B$38)</f>
        <v>0</v>
      </c>
    </row>
    <row r="233" spans="1:2">
      <c r="A233" s="11">
        <f>Returns!A233</f>
        <v>0</v>
      </c>
      <c r="B233" s="1">
        <f t="array" ref="B233">MMULT(Returns!B233,Resume!$B$38)</f>
        <v>0</v>
      </c>
    </row>
    <row r="234" spans="1:2">
      <c r="A234" s="11">
        <f>Returns!A234</f>
        <v>0</v>
      </c>
      <c r="B234" s="1">
        <f t="array" ref="B234">MMULT(Returns!B234,Resume!$B$38)</f>
        <v>0</v>
      </c>
    </row>
    <row r="235" spans="1:2">
      <c r="A235" s="11">
        <f>Returns!A235</f>
        <v>0</v>
      </c>
      <c r="B235" s="1">
        <f t="array" ref="B235">MMULT(Returns!B235,Resume!$B$38)</f>
        <v>0</v>
      </c>
    </row>
    <row r="236" spans="1:2">
      <c r="A236" s="11">
        <f>Returns!A236</f>
        <v>0</v>
      </c>
      <c r="B236" s="1">
        <f t="array" ref="B236">MMULT(Returns!B236,Resume!$B$38)</f>
        <v>0</v>
      </c>
    </row>
    <row r="237" spans="1:2">
      <c r="A237" s="11">
        <f>Returns!A237</f>
        <v>0</v>
      </c>
      <c r="B237" s="1">
        <f t="array" ref="B237">MMULT(Returns!B237,Resume!$B$38)</f>
        <v>0</v>
      </c>
    </row>
    <row r="238" spans="1:2">
      <c r="A238" s="11">
        <f>Returns!A238</f>
        <v>0</v>
      </c>
      <c r="B238" s="1">
        <f t="array" ref="B238">MMULT(Returns!B238,Resume!$B$38)</f>
        <v>0</v>
      </c>
    </row>
    <row r="239" spans="1:2">
      <c r="A239" s="11">
        <f>Returns!A239</f>
        <v>0</v>
      </c>
      <c r="B239" s="1">
        <f t="array" ref="B239">MMULT(Returns!B239,Resume!$B$38)</f>
        <v>0</v>
      </c>
    </row>
    <row r="240" spans="1:2">
      <c r="A240" s="11">
        <f>Returns!A240</f>
        <v>0</v>
      </c>
      <c r="B240" s="1">
        <f t="array" ref="B240">MMULT(Returns!B240,Resume!$B$38)</f>
        <v>0</v>
      </c>
    </row>
    <row r="241" spans="1:2">
      <c r="A241" s="11">
        <f>Returns!A241</f>
        <v>0</v>
      </c>
      <c r="B241" s="1">
        <f t="array" ref="B241">MMULT(Returns!B241,Resume!$B$38)</f>
        <v>0</v>
      </c>
    </row>
    <row r="242" spans="1:2">
      <c r="A242" s="11">
        <f>Returns!A242</f>
        <v>0</v>
      </c>
      <c r="B242" s="1">
        <f t="array" ref="B242">MMULT(Returns!B242,Resume!$B$38)</f>
        <v>0</v>
      </c>
    </row>
    <row r="243" spans="1:2">
      <c r="A243" s="11">
        <f>Returns!A243</f>
        <v>0</v>
      </c>
      <c r="B243" s="1">
        <f t="array" ref="B243">MMULT(Returns!B243,Resume!$B$38)</f>
        <v>0</v>
      </c>
    </row>
    <row r="244" spans="1:2">
      <c r="A244" s="11">
        <f>Returns!A244</f>
        <v>0</v>
      </c>
      <c r="B244" s="1">
        <f t="array" ref="B244">MMULT(Returns!B244,Resume!$B$38)</f>
        <v>0</v>
      </c>
    </row>
    <row r="245" spans="1:2">
      <c r="A245" s="11">
        <f>Returns!A245</f>
        <v>0</v>
      </c>
      <c r="B245" s="1">
        <f t="array" ref="B245">MMULT(Returns!B245,Resume!$B$38)</f>
        <v>0</v>
      </c>
    </row>
    <row r="246" spans="1:2">
      <c r="A246" s="11">
        <f>Returns!A246</f>
        <v>0</v>
      </c>
      <c r="B246" s="1">
        <f t="array" ref="B246">MMULT(Returns!B246,Resume!$B$38)</f>
        <v>0</v>
      </c>
    </row>
    <row r="247" spans="1:2">
      <c r="A247" s="11">
        <f>Returns!A247</f>
        <v>0</v>
      </c>
      <c r="B247" s="1">
        <f t="array" ref="B247">MMULT(Returns!B247,Resume!$B$38)</f>
        <v>0</v>
      </c>
    </row>
    <row r="248" spans="1:2">
      <c r="A248" s="11">
        <f>Returns!A248</f>
        <v>0</v>
      </c>
      <c r="B248" s="1">
        <f t="array" ref="B248">MMULT(Returns!B248,Resume!$B$38)</f>
        <v>0</v>
      </c>
    </row>
    <row r="249" spans="1:2">
      <c r="A249" s="11">
        <f>Returns!A249</f>
        <v>0</v>
      </c>
      <c r="B249" s="1">
        <f t="array" ref="B249">MMULT(Returns!B249,Resume!$B$38)</f>
        <v>0</v>
      </c>
    </row>
    <row r="250" spans="1:2">
      <c r="A250" s="11">
        <f>Returns!A250</f>
        <v>0</v>
      </c>
      <c r="B250" s="1">
        <f t="array" ref="B250">MMULT(Returns!B250,Resume!$B$38)</f>
        <v>0</v>
      </c>
    </row>
    <row r="251" spans="1:2">
      <c r="A251" s="11">
        <f>Returns!A251</f>
        <v>0</v>
      </c>
      <c r="B251" s="1">
        <f t="array" ref="B251">MMULT(Returns!B251,Resume!$B$38)</f>
        <v>0</v>
      </c>
    </row>
    <row r="252" spans="1:2">
      <c r="A252" s="11">
        <f>Returns!A252</f>
        <v>0</v>
      </c>
      <c r="B252" s="1">
        <f t="array" ref="B252">MMULT(Returns!B252,Resume!$B$38)</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ABS(Portfolios!B2-AVERAGE(Portfolios!$B$2:$B$252))</f>
        <v>0</v>
      </c>
    </row>
    <row r="3" spans="1:2">
      <c r="A3" s="11">
        <f>Returns!A3</f>
        <v>0</v>
      </c>
      <c r="B3" s="1">
        <f>ABS(Portfolios!B3-AVERAGE(Portfolios!$B$2:$B$252))</f>
        <v>0</v>
      </c>
    </row>
    <row r="4" spans="1:2">
      <c r="A4" s="11">
        <f>Returns!A4</f>
        <v>0</v>
      </c>
      <c r="B4" s="1">
        <f>ABS(Portfolios!B4-AVERAGE(Portfolios!$B$2:$B$252))</f>
        <v>0</v>
      </c>
    </row>
    <row r="5" spans="1:2">
      <c r="A5" s="11">
        <f>Returns!A5</f>
        <v>0</v>
      </c>
      <c r="B5" s="1">
        <f>ABS(Portfolios!B5-AVERAGE(Portfolios!$B$2:$B$252))</f>
        <v>0</v>
      </c>
    </row>
    <row r="6" spans="1:2">
      <c r="A6" s="11">
        <f>Returns!A6</f>
        <v>0</v>
      </c>
      <c r="B6" s="1">
        <f>ABS(Portfolios!B6-AVERAGE(Portfolios!$B$2:$B$252))</f>
        <v>0</v>
      </c>
    </row>
    <row r="7" spans="1:2">
      <c r="A7" s="11">
        <f>Returns!A7</f>
        <v>0</v>
      </c>
      <c r="B7" s="1">
        <f>ABS(Portfolios!B7-AVERAGE(Portfolios!$B$2:$B$252))</f>
        <v>0</v>
      </c>
    </row>
    <row r="8" spans="1:2">
      <c r="A8" s="11">
        <f>Returns!A8</f>
        <v>0</v>
      </c>
      <c r="B8" s="1">
        <f>ABS(Portfolios!B8-AVERAGE(Portfolios!$B$2:$B$252))</f>
        <v>0</v>
      </c>
    </row>
    <row r="9" spans="1:2">
      <c r="A9" s="11">
        <f>Returns!A9</f>
        <v>0</v>
      </c>
      <c r="B9" s="1">
        <f>ABS(Portfolios!B9-AVERAGE(Portfolios!$B$2:$B$252))</f>
        <v>0</v>
      </c>
    </row>
    <row r="10" spans="1:2">
      <c r="A10" s="11">
        <f>Returns!A10</f>
        <v>0</v>
      </c>
      <c r="B10" s="1">
        <f>ABS(Portfolios!B10-AVERAGE(Portfolios!$B$2:$B$252))</f>
        <v>0</v>
      </c>
    </row>
    <row r="11" spans="1:2">
      <c r="A11" s="11">
        <f>Returns!A11</f>
        <v>0</v>
      </c>
      <c r="B11" s="1">
        <f>ABS(Portfolios!B11-AVERAGE(Portfolios!$B$2:$B$252))</f>
        <v>0</v>
      </c>
    </row>
    <row r="12" spans="1:2">
      <c r="A12" s="11">
        <f>Returns!A12</f>
        <v>0</v>
      </c>
      <c r="B12" s="1">
        <f>ABS(Portfolios!B12-AVERAGE(Portfolios!$B$2:$B$252))</f>
        <v>0</v>
      </c>
    </row>
    <row r="13" spans="1:2">
      <c r="A13" s="11">
        <f>Returns!A13</f>
        <v>0</v>
      </c>
      <c r="B13" s="1">
        <f>ABS(Portfolios!B13-AVERAGE(Portfolios!$B$2:$B$252))</f>
        <v>0</v>
      </c>
    </row>
    <row r="14" spans="1:2">
      <c r="A14" s="11">
        <f>Returns!A14</f>
        <v>0</v>
      </c>
      <c r="B14" s="1">
        <f>ABS(Portfolios!B14-AVERAGE(Portfolios!$B$2:$B$252))</f>
        <v>0</v>
      </c>
    </row>
    <row r="15" spans="1:2">
      <c r="A15" s="11">
        <f>Returns!A15</f>
        <v>0</v>
      </c>
      <c r="B15" s="1">
        <f>ABS(Portfolios!B15-AVERAGE(Portfolios!$B$2:$B$252))</f>
        <v>0</v>
      </c>
    </row>
    <row r="16" spans="1:2">
      <c r="A16" s="11">
        <f>Returns!A16</f>
        <v>0</v>
      </c>
      <c r="B16" s="1">
        <f>ABS(Portfolios!B16-AVERAGE(Portfolios!$B$2:$B$252))</f>
        <v>0</v>
      </c>
    </row>
    <row r="17" spans="1:2">
      <c r="A17" s="11">
        <f>Returns!A17</f>
        <v>0</v>
      </c>
      <c r="B17" s="1">
        <f>ABS(Portfolios!B17-AVERAGE(Portfolios!$B$2:$B$252))</f>
        <v>0</v>
      </c>
    </row>
    <row r="18" spans="1:2">
      <c r="A18" s="11">
        <f>Returns!A18</f>
        <v>0</v>
      </c>
      <c r="B18" s="1">
        <f>ABS(Portfolios!B18-AVERAGE(Portfolios!$B$2:$B$252))</f>
        <v>0</v>
      </c>
    </row>
    <row r="19" spans="1:2">
      <c r="A19" s="11">
        <f>Returns!A19</f>
        <v>0</v>
      </c>
      <c r="B19" s="1">
        <f>ABS(Portfolios!B19-AVERAGE(Portfolios!$B$2:$B$252))</f>
        <v>0</v>
      </c>
    </row>
    <row r="20" spans="1:2">
      <c r="A20" s="11">
        <f>Returns!A20</f>
        <v>0</v>
      </c>
      <c r="B20" s="1">
        <f>ABS(Portfolios!B20-AVERAGE(Portfolios!$B$2:$B$252))</f>
        <v>0</v>
      </c>
    </row>
    <row r="21" spans="1:2">
      <c r="A21" s="11">
        <f>Returns!A21</f>
        <v>0</v>
      </c>
      <c r="B21" s="1">
        <f>ABS(Portfolios!B21-AVERAGE(Portfolios!$B$2:$B$252))</f>
        <v>0</v>
      </c>
    </row>
    <row r="22" spans="1:2">
      <c r="A22" s="11">
        <f>Returns!A22</f>
        <v>0</v>
      </c>
      <c r="B22" s="1">
        <f>ABS(Portfolios!B22-AVERAGE(Portfolios!$B$2:$B$252))</f>
        <v>0</v>
      </c>
    </row>
    <row r="23" spans="1:2">
      <c r="A23" s="11">
        <f>Returns!A23</f>
        <v>0</v>
      </c>
      <c r="B23" s="1">
        <f>ABS(Portfolios!B23-AVERAGE(Portfolios!$B$2:$B$252))</f>
        <v>0</v>
      </c>
    </row>
    <row r="24" spans="1:2">
      <c r="A24" s="11">
        <f>Returns!A24</f>
        <v>0</v>
      </c>
      <c r="B24" s="1">
        <f>ABS(Portfolios!B24-AVERAGE(Portfolios!$B$2:$B$252))</f>
        <v>0</v>
      </c>
    </row>
    <row r="25" spans="1:2">
      <c r="A25" s="11">
        <f>Returns!A25</f>
        <v>0</v>
      </c>
      <c r="B25" s="1">
        <f>ABS(Portfolios!B25-AVERAGE(Portfolios!$B$2:$B$252))</f>
        <v>0</v>
      </c>
    </row>
    <row r="26" spans="1:2">
      <c r="A26" s="11">
        <f>Returns!A26</f>
        <v>0</v>
      </c>
      <c r="B26" s="1">
        <f>ABS(Portfolios!B26-AVERAGE(Portfolios!$B$2:$B$252))</f>
        <v>0</v>
      </c>
    </row>
    <row r="27" spans="1:2">
      <c r="A27" s="11">
        <f>Returns!A27</f>
        <v>0</v>
      </c>
      <c r="B27" s="1">
        <f>ABS(Portfolios!B27-AVERAGE(Portfolios!$B$2:$B$252))</f>
        <v>0</v>
      </c>
    </row>
    <row r="28" spans="1:2">
      <c r="A28" s="11">
        <f>Returns!A28</f>
        <v>0</v>
      </c>
      <c r="B28" s="1">
        <f>ABS(Portfolios!B28-AVERAGE(Portfolios!$B$2:$B$252))</f>
        <v>0</v>
      </c>
    </row>
    <row r="29" spans="1:2">
      <c r="A29" s="11">
        <f>Returns!A29</f>
        <v>0</v>
      </c>
      <c r="B29" s="1">
        <f>ABS(Portfolios!B29-AVERAGE(Portfolios!$B$2:$B$252))</f>
        <v>0</v>
      </c>
    </row>
    <row r="30" spans="1:2">
      <c r="A30" s="11">
        <f>Returns!A30</f>
        <v>0</v>
      </c>
      <c r="B30" s="1">
        <f>ABS(Portfolios!B30-AVERAGE(Portfolios!$B$2:$B$252))</f>
        <v>0</v>
      </c>
    </row>
    <row r="31" spans="1:2">
      <c r="A31" s="11">
        <f>Returns!A31</f>
        <v>0</v>
      </c>
      <c r="B31" s="1">
        <f>ABS(Portfolios!B31-AVERAGE(Portfolios!$B$2:$B$252))</f>
        <v>0</v>
      </c>
    </row>
    <row r="32" spans="1:2">
      <c r="A32" s="11">
        <f>Returns!A32</f>
        <v>0</v>
      </c>
      <c r="B32" s="1">
        <f>ABS(Portfolios!B32-AVERAGE(Portfolios!$B$2:$B$252))</f>
        <v>0</v>
      </c>
    </row>
    <row r="33" spans="1:2">
      <c r="A33" s="11">
        <f>Returns!A33</f>
        <v>0</v>
      </c>
      <c r="B33" s="1">
        <f>ABS(Portfolios!B33-AVERAGE(Portfolios!$B$2:$B$252))</f>
        <v>0</v>
      </c>
    </row>
    <row r="34" spans="1:2">
      <c r="A34" s="11">
        <f>Returns!A34</f>
        <v>0</v>
      </c>
      <c r="B34" s="1">
        <f>ABS(Portfolios!B34-AVERAGE(Portfolios!$B$2:$B$252))</f>
        <v>0</v>
      </c>
    </row>
    <row r="35" spans="1:2">
      <c r="A35" s="11">
        <f>Returns!A35</f>
        <v>0</v>
      </c>
      <c r="B35" s="1">
        <f>ABS(Portfolios!B35-AVERAGE(Portfolios!$B$2:$B$252))</f>
        <v>0</v>
      </c>
    </row>
    <row r="36" spans="1:2">
      <c r="A36" s="11">
        <f>Returns!A36</f>
        <v>0</v>
      </c>
      <c r="B36" s="1">
        <f>ABS(Portfolios!B36-AVERAGE(Portfolios!$B$2:$B$252))</f>
        <v>0</v>
      </c>
    </row>
    <row r="37" spans="1:2">
      <c r="A37" s="11">
        <f>Returns!A37</f>
        <v>0</v>
      </c>
      <c r="B37" s="1">
        <f>ABS(Portfolios!B37-AVERAGE(Portfolios!$B$2:$B$252))</f>
        <v>0</v>
      </c>
    </row>
    <row r="38" spans="1:2">
      <c r="A38" s="11">
        <f>Returns!A38</f>
        <v>0</v>
      </c>
      <c r="B38" s="1">
        <f>ABS(Portfolios!B38-AVERAGE(Portfolios!$B$2:$B$252))</f>
        <v>0</v>
      </c>
    </row>
    <row r="39" spans="1:2">
      <c r="A39" s="11">
        <f>Returns!A39</f>
        <v>0</v>
      </c>
      <c r="B39" s="1">
        <f>ABS(Portfolios!B39-AVERAGE(Portfolios!$B$2:$B$252))</f>
        <v>0</v>
      </c>
    </row>
    <row r="40" spans="1:2">
      <c r="A40" s="11">
        <f>Returns!A40</f>
        <v>0</v>
      </c>
      <c r="B40" s="1">
        <f>ABS(Portfolios!B40-AVERAGE(Portfolios!$B$2:$B$252))</f>
        <v>0</v>
      </c>
    </row>
    <row r="41" spans="1:2">
      <c r="A41" s="11">
        <f>Returns!A41</f>
        <v>0</v>
      </c>
      <c r="B41" s="1">
        <f>ABS(Portfolios!B41-AVERAGE(Portfolios!$B$2:$B$252))</f>
        <v>0</v>
      </c>
    </row>
    <row r="42" spans="1:2">
      <c r="A42" s="11">
        <f>Returns!A42</f>
        <v>0</v>
      </c>
      <c r="B42" s="1">
        <f>ABS(Portfolios!B42-AVERAGE(Portfolios!$B$2:$B$252))</f>
        <v>0</v>
      </c>
    </row>
    <row r="43" spans="1:2">
      <c r="A43" s="11">
        <f>Returns!A43</f>
        <v>0</v>
      </c>
      <c r="B43" s="1">
        <f>ABS(Portfolios!B43-AVERAGE(Portfolios!$B$2:$B$252))</f>
        <v>0</v>
      </c>
    </row>
    <row r="44" spans="1:2">
      <c r="A44" s="11">
        <f>Returns!A44</f>
        <v>0</v>
      </c>
      <c r="B44" s="1">
        <f>ABS(Portfolios!B44-AVERAGE(Portfolios!$B$2:$B$252))</f>
        <v>0</v>
      </c>
    </row>
    <row r="45" spans="1:2">
      <c r="A45" s="11">
        <f>Returns!A45</f>
        <v>0</v>
      </c>
      <c r="B45" s="1">
        <f>ABS(Portfolios!B45-AVERAGE(Portfolios!$B$2:$B$252))</f>
        <v>0</v>
      </c>
    </row>
    <row r="46" spans="1:2">
      <c r="A46" s="11">
        <f>Returns!A46</f>
        <v>0</v>
      </c>
      <c r="B46" s="1">
        <f>ABS(Portfolios!B46-AVERAGE(Portfolios!$B$2:$B$252))</f>
        <v>0</v>
      </c>
    </row>
    <row r="47" spans="1:2">
      <c r="A47" s="11">
        <f>Returns!A47</f>
        <v>0</v>
      </c>
      <c r="B47" s="1">
        <f>ABS(Portfolios!B47-AVERAGE(Portfolios!$B$2:$B$252))</f>
        <v>0</v>
      </c>
    </row>
    <row r="48" spans="1:2">
      <c r="A48" s="11">
        <f>Returns!A48</f>
        <v>0</v>
      </c>
      <c r="B48" s="1">
        <f>ABS(Portfolios!B48-AVERAGE(Portfolios!$B$2:$B$252))</f>
        <v>0</v>
      </c>
    </row>
    <row r="49" spans="1:2">
      <c r="A49" s="11">
        <f>Returns!A49</f>
        <v>0</v>
      </c>
      <c r="B49" s="1">
        <f>ABS(Portfolios!B49-AVERAGE(Portfolios!$B$2:$B$252))</f>
        <v>0</v>
      </c>
    </row>
    <row r="50" spans="1:2">
      <c r="A50" s="11">
        <f>Returns!A50</f>
        <v>0</v>
      </c>
      <c r="B50" s="1">
        <f>ABS(Portfolios!B50-AVERAGE(Portfolios!$B$2:$B$252))</f>
        <v>0</v>
      </c>
    </row>
    <row r="51" spans="1:2">
      <c r="A51" s="11">
        <f>Returns!A51</f>
        <v>0</v>
      </c>
      <c r="B51" s="1">
        <f>ABS(Portfolios!B51-AVERAGE(Portfolios!$B$2:$B$252))</f>
        <v>0</v>
      </c>
    </row>
    <row r="52" spans="1:2">
      <c r="A52" s="11">
        <f>Returns!A52</f>
        <v>0</v>
      </c>
      <c r="B52" s="1">
        <f>ABS(Portfolios!B52-AVERAGE(Portfolios!$B$2:$B$252))</f>
        <v>0</v>
      </c>
    </row>
    <row r="53" spans="1:2">
      <c r="A53" s="11">
        <f>Returns!A53</f>
        <v>0</v>
      </c>
      <c r="B53" s="1">
        <f>ABS(Portfolios!B53-AVERAGE(Portfolios!$B$2:$B$252))</f>
        <v>0</v>
      </c>
    </row>
    <row r="54" spans="1:2">
      <c r="A54" s="11">
        <f>Returns!A54</f>
        <v>0</v>
      </c>
      <c r="B54" s="1">
        <f>ABS(Portfolios!B54-AVERAGE(Portfolios!$B$2:$B$252))</f>
        <v>0</v>
      </c>
    </row>
    <row r="55" spans="1:2">
      <c r="A55" s="11">
        <f>Returns!A55</f>
        <v>0</v>
      </c>
      <c r="B55" s="1">
        <f>ABS(Portfolios!B55-AVERAGE(Portfolios!$B$2:$B$252))</f>
        <v>0</v>
      </c>
    </row>
    <row r="56" spans="1:2">
      <c r="A56" s="11">
        <f>Returns!A56</f>
        <v>0</v>
      </c>
      <c r="B56" s="1">
        <f>ABS(Portfolios!B56-AVERAGE(Portfolios!$B$2:$B$252))</f>
        <v>0</v>
      </c>
    </row>
    <row r="57" spans="1:2">
      <c r="A57" s="11">
        <f>Returns!A57</f>
        <v>0</v>
      </c>
      <c r="B57" s="1">
        <f>ABS(Portfolios!B57-AVERAGE(Portfolios!$B$2:$B$252))</f>
        <v>0</v>
      </c>
    </row>
    <row r="58" spans="1:2">
      <c r="A58" s="11">
        <f>Returns!A58</f>
        <v>0</v>
      </c>
      <c r="B58" s="1">
        <f>ABS(Portfolios!B58-AVERAGE(Portfolios!$B$2:$B$252))</f>
        <v>0</v>
      </c>
    </row>
    <row r="59" spans="1:2">
      <c r="A59" s="11">
        <f>Returns!A59</f>
        <v>0</v>
      </c>
      <c r="B59" s="1">
        <f>ABS(Portfolios!B59-AVERAGE(Portfolios!$B$2:$B$252))</f>
        <v>0</v>
      </c>
    </row>
    <row r="60" spans="1:2">
      <c r="A60" s="11">
        <f>Returns!A60</f>
        <v>0</v>
      </c>
      <c r="B60" s="1">
        <f>ABS(Portfolios!B60-AVERAGE(Portfolios!$B$2:$B$252))</f>
        <v>0</v>
      </c>
    </row>
    <row r="61" spans="1:2">
      <c r="A61" s="11">
        <f>Returns!A61</f>
        <v>0</v>
      </c>
      <c r="B61" s="1">
        <f>ABS(Portfolios!B61-AVERAGE(Portfolios!$B$2:$B$252))</f>
        <v>0</v>
      </c>
    </row>
    <row r="62" spans="1:2">
      <c r="A62" s="11">
        <f>Returns!A62</f>
        <v>0</v>
      </c>
      <c r="B62" s="1">
        <f>ABS(Portfolios!B62-AVERAGE(Portfolios!$B$2:$B$252))</f>
        <v>0</v>
      </c>
    </row>
    <row r="63" spans="1:2">
      <c r="A63" s="11">
        <f>Returns!A63</f>
        <v>0</v>
      </c>
      <c r="B63" s="1">
        <f>ABS(Portfolios!B63-AVERAGE(Portfolios!$B$2:$B$252))</f>
        <v>0</v>
      </c>
    </row>
    <row r="64" spans="1:2">
      <c r="A64" s="11">
        <f>Returns!A64</f>
        <v>0</v>
      </c>
      <c r="B64" s="1">
        <f>ABS(Portfolios!B64-AVERAGE(Portfolios!$B$2:$B$252))</f>
        <v>0</v>
      </c>
    </row>
    <row r="65" spans="1:2">
      <c r="A65" s="11">
        <f>Returns!A65</f>
        <v>0</v>
      </c>
      <c r="B65" s="1">
        <f>ABS(Portfolios!B65-AVERAGE(Portfolios!$B$2:$B$252))</f>
        <v>0</v>
      </c>
    </row>
    <row r="66" spans="1:2">
      <c r="A66" s="11">
        <f>Returns!A66</f>
        <v>0</v>
      </c>
      <c r="B66" s="1">
        <f>ABS(Portfolios!B66-AVERAGE(Portfolios!$B$2:$B$252))</f>
        <v>0</v>
      </c>
    </row>
    <row r="67" spans="1:2">
      <c r="A67" s="11">
        <f>Returns!A67</f>
        <v>0</v>
      </c>
      <c r="B67" s="1">
        <f>ABS(Portfolios!B67-AVERAGE(Portfolios!$B$2:$B$252))</f>
        <v>0</v>
      </c>
    </row>
    <row r="68" spans="1:2">
      <c r="A68" s="11">
        <f>Returns!A68</f>
        <v>0</v>
      </c>
      <c r="B68" s="1">
        <f>ABS(Portfolios!B68-AVERAGE(Portfolios!$B$2:$B$252))</f>
        <v>0</v>
      </c>
    </row>
    <row r="69" spans="1:2">
      <c r="A69" s="11">
        <f>Returns!A69</f>
        <v>0</v>
      </c>
      <c r="B69" s="1">
        <f>ABS(Portfolios!B69-AVERAGE(Portfolios!$B$2:$B$252))</f>
        <v>0</v>
      </c>
    </row>
    <row r="70" spans="1:2">
      <c r="A70" s="11">
        <f>Returns!A70</f>
        <v>0</v>
      </c>
      <c r="B70" s="1">
        <f>ABS(Portfolios!B70-AVERAGE(Portfolios!$B$2:$B$252))</f>
        <v>0</v>
      </c>
    </row>
    <row r="71" spans="1:2">
      <c r="A71" s="11">
        <f>Returns!A71</f>
        <v>0</v>
      </c>
      <c r="B71" s="1">
        <f>ABS(Portfolios!B71-AVERAGE(Portfolios!$B$2:$B$252))</f>
        <v>0</v>
      </c>
    </row>
    <row r="72" spans="1:2">
      <c r="A72" s="11">
        <f>Returns!A72</f>
        <v>0</v>
      </c>
      <c r="B72" s="1">
        <f>ABS(Portfolios!B72-AVERAGE(Portfolios!$B$2:$B$252))</f>
        <v>0</v>
      </c>
    </row>
    <row r="73" spans="1:2">
      <c r="A73" s="11">
        <f>Returns!A73</f>
        <v>0</v>
      </c>
      <c r="B73" s="1">
        <f>ABS(Portfolios!B73-AVERAGE(Portfolios!$B$2:$B$252))</f>
        <v>0</v>
      </c>
    </row>
    <row r="74" spans="1:2">
      <c r="A74" s="11">
        <f>Returns!A74</f>
        <v>0</v>
      </c>
      <c r="B74" s="1">
        <f>ABS(Portfolios!B74-AVERAGE(Portfolios!$B$2:$B$252))</f>
        <v>0</v>
      </c>
    </row>
    <row r="75" spans="1:2">
      <c r="A75" s="11">
        <f>Returns!A75</f>
        <v>0</v>
      </c>
      <c r="B75" s="1">
        <f>ABS(Portfolios!B75-AVERAGE(Portfolios!$B$2:$B$252))</f>
        <v>0</v>
      </c>
    </row>
    <row r="76" spans="1:2">
      <c r="A76" s="11">
        <f>Returns!A76</f>
        <v>0</v>
      </c>
      <c r="B76" s="1">
        <f>ABS(Portfolios!B76-AVERAGE(Portfolios!$B$2:$B$252))</f>
        <v>0</v>
      </c>
    </row>
    <row r="77" spans="1:2">
      <c r="A77" s="11">
        <f>Returns!A77</f>
        <v>0</v>
      </c>
      <c r="B77" s="1">
        <f>ABS(Portfolios!B77-AVERAGE(Portfolios!$B$2:$B$252))</f>
        <v>0</v>
      </c>
    </row>
    <row r="78" spans="1:2">
      <c r="A78" s="11">
        <f>Returns!A78</f>
        <v>0</v>
      </c>
      <c r="B78" s="1">
        <f>ABS(Portfolios!B78-AVERAGE(Portfolios!$B$2:$B$252))</f>
        <v>0</v>
      </c>
    </row>
    <row r="79" spans="1:2">
      <c r="A79" s="11">
        <f>Returns!A79</f>
        <v>0</v>
      </c>
      <c r="B79" s="1">
        <f>ABS(Portfolios!B79-AVERAGE(Portfolios!$B$2:$B$252))</f>
        <v>0</v>
      </c>
    </row>
    <row r="80" spans="1:2">
      <c r="A80" s="11">
        <f>Returns!A80</f>
        <v>0</v>
      </c>
      <c r="B80" s="1">
        <f>ABS(Portfolios!B80-AVERAGE(Portfolios!$B$2:$B$252))</f>
        <v>0</v>
      </c>
    </row>
    <row r="81" spans="1:2">
      <c r="A81" s="11">
        <f>Returns!A81</f>
        <v>0</v>
      </c>
      <c r="B81" s="1">
        <f>ABS(Portfolios!B81-AVERAGE(Portfolios!$B$2:$B$252))</f>
        <v>0</v>
      </c>
    </row>
    <row r="82" spans="1:2">
      <c r="A82" s="11">
        <f>Returns!A82</f>
        <v>0</v>
      </c>
      <c r="B82" s="1">
        <f>ABS(Portfolios!B82-AVERAGE(Portfolios!$B$2:$B$252))</f>
        <v>0</v>
      </c>
    </row>
    <row r="83" spans="1:2">
      <c r="A83" s="11">
        <f>Returns!A83</f>
        <v>0</v>
      </c>
      <c r="B83" s="1">
        <f>ABS(Portfolios!B83-AVERAGE(Portfolios!$B$2:$B$252))</f>
        <v>0</v>
      </c>
    </row>
    <row r="84" spans="1:2">
      <c r="A84" s="11">
        <f>Returns!A84</f>
        <v>0</v>
      </c>
      <c r="B84" s="1">
        <f>ABS(Portfolios!B84-AVERAGE(Portfolios!$B$2:$B$252))</f>
        <v>0</v>
      </c>
    </row>
    <row r="85" spans="1:2">
      <c r="A85" s="11">
        <f>Returns!A85</f>
        <v>0</v>
      </c>
      <c r="B85" s="1">
        <f>ABS(Portfolios!B85-AVERAGE(Portfolios!$B$2:$B$252))</f>
        <v>0</v>
      </c>
    </row>
    <row r="86" spans="1:2">
      <c r="A86" s="11">
        <f>Returns!A86</f>
        <v>0</v>
      </c>
      <c r="B86" s="1">
        <f>ABS(Portfolios!B86-AVERAGE(Portfolios!$B$2:$B$252))</f>
        <v>0</v>
      </c>
    </row>
    <row r="87" spans="1:2">
      <c r="A87" s="11">
        <f>Returns!A87</f>
        <v>0</v>
      </c>
      <c r="B87" s="1">
        <f>ABS(Portfolios!B87-AVERAGE(Portfolios!$B$2:$B$252))</f>
        <v>0</v>
      </c>
    </row>
    <row r="88" spans="1:2">
      <c r="A88" s="11">
        <f>Returns!A88</f>
        <v>0</v>
      </c>
      <c r="B88" s="1">
        <f>ABS(Portfolios!B88-AVERAGE(Portfolios!$B$2:$B$252))</f>
        <v>0</v>
      </c>
    </row>
    <row r="89" spans="1:2">
      <c r="A89" s="11">
        <f>Returns!A89</f>
        <v>0</v>
      </c>
      <c r="B89" s="1">
        <f>ABS(Portfolios!B89-AVERAGE(Portfolios!$B$2:$B$252))</f>
        <v>0</v>
      </c>
    </row>
    <row r="90" spans="1:2">
      <c r="A90" s="11">
        <f>Returns!A90</f>
        <v>0</v>
      </c>
      <c r="B90" s="1">
        <f>ABS(Portfolios!B90-AVERAGE(Portfolios!$B$2:$B$252))</f>
        <v>0</v>
      </c>
    </row>
    <row r="91" spans="1:2">
      <c r="A91" s="11">
        <f>Returns!A91</f>
        <v>0</v>
      </c>
      <c r="B91" s="1">
        <f>ABS(Portfolios!B91-AVERAGE(Portfolios!$B$2:$B$252))</f>
        <v>0</v>
      </c>
    </row>
    <row r="92" spans="1:2">
      <c r="A92" s="11">
        <f>Returns!A92</f>
        <v>0</v>
      </c>
      <c r="B92" s="1">
        <f>ABS(Portfolios!B92-AVERAGE(Portfolios!$B$2:$B$252))</f>
        <v>0</v>
      </c>
    </row>
    <row r="93" spans="1:2">
      <c r="A93" s="11">
        <f>Returns!A93</f>
        <v>0</v>
      </c>
      <c r="B93" s="1">
        <f>ABS(Portfolios!B93-AVERAGE(Portfolios!$B$2:$B$252))</f>
        <v>0</v>
      </c>
    </row>
    <row r="94" spans="1:2">
      <c r="A94" s="11">
        <f>Returns!A94</f>
        <v>0</v>
      </c>
      <c r="B94" s="1">
        <f>ABS(Portfolios!B94-AVERAGE(Portfolios!$B$2:$B$252))</f>
        <v>0</v>
      </c>
    </row>
    <row r="95" spans="1:2">
      <c r="A95" s="11">
        <f>Returns!A95</f>
        <v>0</v>
      </c>
      <c r="B95" s="1">
        <f>ABS(Portfolios!B95-AVERAGE(Portfolios!$B$2:$B$252))</f>
        <v>0</v>
      </c>
    </row>
    <row r="96" spans="1:2">
      <c r="A96" s="11">
        <f>Returns!A96</f>
        <v>0</v>
      </c>
      <c r="B96" s="1">
        <f>ABS(Portfolios!B96-AVERAGE(Portfolios!$B$2:$B$252))</f>
        <v>0</v>
      </c>
    </row>
    <row r="97" spans="1:2">
      <c r="A97" s="11">
        <f>Returns!A97</f>
        <v>0</v>
      </c>
      <c r="B97" s="1">
        <f>ABS(Portfolios!B97-AVERAGE(Portfolios!$B$2:$B$252))</f>
        <v>0</v>
      </c>
    </row>
    <row r="98" spans="1:2">
      <c r="A98" s="11">
        <f>Returns!A98</f>
        <v>0</v>
      </c>
      <c r="B98" s="1">
        <f>ABS(Portfolios!B98-AVERAGE(Portfolios!$B$2:$B$252))</f>
        <v>0</v>
      </c>
    </row>
    <row r="99" spans="1:2">
      <c r="A99" s="11">
        <f>Returns!A99</f>
        <v>0</v>
      </c>
      <c r="B99" s="1">
        <f>ABS(Portfolios!B99-AVERAGE(Portfolios!$B$2:$B$252))</f>
        <v>0</v>
      </c>
    </row>
    <row r="100" spans="1:2">
      <c r="A100" s="11">
        <f>Returns!A100</f>
        <v>0</v>
      </c>
      <c r="B100" s="1">
        <f>ABS(Portfolios!B100-AVERAGE(Portfolios!$B$2:$B$252))</f>
        <v>0</v>
      </c>
    </row>
    <row r="101" spans="1:2">
      <c r="A101" s="11">
        <f>Returns!A101</f>
        <v>0</v>
      </c>
      <c r="B101" s="1">
        <f>ABS(Portfolios!B101-AVERAGE(Portfolios!$B$2:$B$252))</f>
        <v>0</v>
      </c>
    </row>
    <row r="102" spans="1:2">
      <c r="A102" s="11">
        <f>Returns!A102</f>
        <v>0</v>
      </c>
      <c r="B102" s="1">
        <f>ABS(Portfolios!B102-AVERAGE(Portfolios!$B$2:$B$252))</f>
        <v>0</v>
      </c>
    </row>
    <row r="103" spans="1:2">
      <c r="A103" s="11">
        <f>Returns!A103</f>
        <v>0</v>
      </c>
      <c r="B103" s="1">
        <f>ABS(Portfolios!B103-AVERAGE(Portfolios!$B$2:$B$252))</f>
        <v>0</v>
      </c>
    </row>
    <row r="104" spans="1:2">
      <c r="A104" s="11">
        <f>Returns!A104</f>
        <v>0</v>
      </c>
      <c r="B104" s="1">
        <f>ABS(Portfolios!B104-AVERAGE(Portfolios!$B$2:$B$252))</f>
        <v>0</v>
      </c>
    </row>
    <row r="105" spans="1:2">
      <c r="A105" s="11">
        <f>Returns!A105</f>
        <v>0</v>
      </c>
      <c r="B105" s="1">
        <f>ABS(Portfolios!B105-AVERAGE(Portfolios!$B$2:$B$252))</f>
        <v>0</v>
      </c>
    </row>
    <row r="106" spans="1:2">
      <c r="A106" s="11">
        <f>Returns!A106</f>
        <v>0</v>
      </c>
      <c r="B106" s="1">
        <f>ABS(Portfolios!B106-AVERAGE(Portfolios!$B$2:$B$252))</f>
        <v>0</v>
      </c>
    </row>
    <row r="107" spans="1:2">
      <c r="A107" s="11">
        <f>Returns!A107</f>
        <v>0</v>
      </c>
      <c r="B107" s="1">
        <f>ABS(Portfolios!B107-AVERAGE(Portfolios!$B$2:$B$252))</f>
        <v>0</v>
      </c>
    </row>
    <row r="108" spans="1:2">
      <c r="A108" s="11">
        <f>Returns!A108</f>
        <v>0</v>
      </c>
      <c r="B108" s="1">
        <f>ABS(Portfolios!B108-AVERAGE(Portfolios!$B$2:$B$252))</f>
        <v>0</v>
      </c>
    </row>
    <row r="109" spans="1:2">
      <c r="A109" s="11">
        <f>Returns!A109</f>
        <v>0</v>
      </c>
      <c r="B109" s="1">
        <f>ABS(Portfolios!B109-AVERAGE(Portfolios!$B$2:$B$252))</f>
        <v>0</v>
      </c>
    </row>
    <row r="110" spans="1:2">
      <c r="A110" s="11">
        <f>Returns!A110</f>
        <v>0</v>
      </c>
      <c r="B110" s="1">
        <f>ABS(Portfolios!B110-AVERAGE(Portfolios!$B$2:$B$252))</f>
        <v>0</v>
      </c>
    </row>
    <row r="111" spans="1:2">
      <c r="A111" s="11">
        <f>Returns!A111</f>
        <v>0</v>
      </c>
      <c r="B111" s="1">
        <f>ABS(Portfolios!B111-AVERAGE(Portfolios!$B$2:$B$252))</f>
        <v>0</v>
      </c>
    </row>
    <row r="112" spans="1:2">
      <c r="A112" s="11">
        <f>Returns!A112</f>
        <v>0</v>
      </c>
      <c r="B112" s="1">
        <f>ABS(Portfolios!B112-AVERAGE(Portfolios!$B$2:$B$252))</f>
        <v>0</v>
      </c>
    </row>
    <row r="113" spans="1:2">
      <c r="A113" s="11">
        <f>Returns!A113</f>
        <v>0</v>
      </c>
      <c r="B113" s="1">
        <f>ABS(Portfolios!B113-AVERAGE(Portfolios!$B$2:$B$252))</f>
        <v>0</v>
      </c>
    </row>
    <row r="114" spans="1:2">
      <c r="A114" s="11">
        <f>Returns!A114</f>
        <v>0</v>
      </c>
      <c r="B114" s="1">
        <f>ABS(Portfolios!B114-AVERAGE(Portfolios!$B$2:$B$252))</f>
        <v>0</v>
      </c>
    </row>
    <row r="115" spans="1:2">
      <c r="A115" s="11">
        <f>Returns!A115</f>
        <v>0</v>
      </c>
      <c r="B115" s="1">
        <f>ABS(Portfolios!B115-AVERAGE(Portfolios!$B$2:$B$252))</f>
        <v>0</v>
      </c>
    </row>
    <row r="116" spans="1:2">
      <c r="A116" s="11">
        <f>Returns!A116</f>
        <v>0</v>
      </c>
      <c r="B116" s="1">
        <f>ABS(Portfolios!B116-AVERAGE(Portfolios!$B$2:$B$252))</f>
        <v>0</v>
      </c>
    </row>
    <row r="117" spans="1:2">
      <c r="A117" s="11">
        <f>Returns!A117</f>
        <v>0</v>
      </c>
      <c r="B117" s="1">
        <f>ABS(Portfolios!B117-AVERAGE(Portfolios!$B$2:$B$252))</f>
        <v>0</v>
      </c>
    </row>
    <row r="118" spans="1:2">
      <c r="A118" s="11">
        <f>Returns!A118</f>
        <v>0</v>
      </c>
      <c r="B118" s="1">
        <f>ABS(Portfolios!B118-AVERAGE(Portfolios!$B$2:$B$252))</f>
        <v>0</v>
      </c>
    </row>
    <row r="119" spans="1:2">
      <c r="A119" s="11">
        <f>Returns!A119</f>
        <v>0</v>
      </c>
      <c r="B119" s="1">
        <f>ABS(Portfolios!B119-AVERAGE(Portfolios!$B$2:$B$252))</f>
        <v>0</v>
      </c>
    </row>
    <row r="120" spans="1:2">
      <c r="A120" s="11">
        <f>Returns!A120</f>
        <v>0</v>
      </c>
      <c r="B120" s="1">
        <f>ABS(Portfolios!B120-AVERAGE(Portfolios!$B$2:$B$252))</f>
        <v>0</v>
      </c>
    </row>
    <row r="121" spans="1:2">
      <c r="A121" s="11">
        <f>Returns!A121</f>
        <v>0</v>
      </c>
      <c r="B121" s="1">
        <f>ABS(Portfolios!B121-AVERAGE(Portfolios!$B$2:$B$252))</f>
        <v>0</v>
      </c>
    </row>
    <row r="122" spans="1:2">
      <c r="A122" s="11">
        <f>Returns!A122</f>
        <v>0</v>
      </c>
      <c r="B122" s="1">
        <f>ABS(Portfolios!B122-AVERAGE(Portfolios!$B$2:$B$252))</f>
        <v>0</v>
      </c>
    </row>
    <row r="123" spans="1:2">
      <c r="A123" s="11">
        <f>Returns!A123</f>
        <v>0</v>
      </c>
      <c r="B123" s="1">
        <f>ABS(Portfolios!B123-AVERAGE(Portfolios!$B$2:$B$252))</f>
        <v>0</v>
      </c>
    </row>
    <row r="124" spans="1:2">
      <c r="A124" s="11">
        <f>Returns!A124</f>
        <v>0</v>
      </c>
      <c r="B124" s="1">
        <f>ABS(Portfolios!B124-AVERAGE(Portfolios!$B$2:$B$252))</f>
        <v>0</v>
      </c>
    </row>
    <row r="125" spans="1:2">
      <c r="A125" s="11">
        <f>Returns!A125</f>
        <v>0</v>
      </c>
      <c r="B125" s="1">
        <f>ABS(Portfolios!B125-AVERAGE(Portfolios!$B$2:$B$252))</f>
        <v>0</v>
      </c>
    </row>
    <row r="126" spans="1:2">
      <c r="A126" s="11">
        <f>Returns!A126</f>
        <v>0</v>
      </c>
      <c r="B126" s="1">
        <f>ABS(Portfolios!B126-AVERAGE(Portfolios!$B$2:$B$252))</f>
        <v>0</v>
      </c>
    </row>
    <row r="127" spans="1:2">
      <c r="A127" s="11">
        <f>Returns!A127</f>
        <v>0</v>
      </c>
      <c r="B127" s="1">
        <f>ABS(Portfolios!B127-AVERAGE(Portfolios!$B$2:$B$252))</f>
        <v>0</v>
      </c>
    </row>
    <row r="128" spans="1:2">
      <c r="A128" s="11">
        <f>Returns!A128</f>
        <v>0</v>
      </c>
      <c r="B128" s="1">
        <f>ABS(Portfolios!B128-AVERAGE(Portfolios!$B$2:$B$252))</f>
        <v>0</v>
      </c>
    </row>
    <row r="129" spans="1:2">
      <c r="A129" s="11">
        <f>Returns!A129</f>
        <v>0</v>
      </c>
      <c r="B129" s="1">
        <f>ABS(Portfolios!B129-AVERAGE(Portfolios!$B$2:$B$252))</f>
        <v>0</v>
      </c>
    </row>
    <row r="130" spans="1:2">
      <c r="A130" s="11">
        <f>Returns!A130</f>
        <v>0</v>
      </c>
      <c r="B130" s="1">
        <f>ABS(Portfolios!B130-AVERAGE(Portfolios!$B$2:$B$252))</f>
        <v>0</v>
      </c>
    </row>
    <row r="131" spans="1:2">
      <c r="A131" s="11">
        <f>Returns!A131</f>
        <v>0</v>
      </c>
      <c r="B131" s="1">
        <f>ABS(Portfolios!B131-AVERAGE(Portfolios!$B$2:$B$252))</f>
        <v>0</v>
      </c>
    </row>
    <row r="132" spans="1:2">
      <c r="A132" s="11">
        <f>Returns!A132</f>
        <v>0</v>
      </c>
      <c r="B132" s="1">
        <f>ABS(Portfolios!B132-AVERAGE(Portfolios!$B$2:$B$252))</f>
        <v>0</v>
      </c>
    </row>
    <row r="133" spans="1:2">
      <c r="A133" s="11">
        <f>Returns!A133</f>
        <v>0</v>
      </c>
      <c r="B133" s="1">
        <f>ABS(Portfolios!B133-AVERAGE(Portfolios!$B$2:$B$252))</f>
        <v>0</v>
      </c>
    </row>
    <row r="134" spans="1:2">
      <c r="A134" s="11">
        <f>Returns!A134</f>
        <v>0</v>
      </c>
      <c r="B134" s="1">
        <f>ABS(Portfolios!B134-AVERAGE(Portfolios!$B$2:$B$252))</f>
        <v>0</v>
      </c>
    </row>
    <row r="135" spans="1:2">
      <c r="A135" s="11">
        <f>Returns!A135</f>
        <v>0</v>
      </c>
      <c r="B135" s="1">
        <f>ABS(Portfolios!B135-AVERAGE(Portfolios!$B$2:$B$252))</f>
        <v>0</v>
      </c>
    </row>
    <row r="136" spans="1:2">
      <c r="A136" s="11">
        <f>Returns!A136</f>
        <v>0</v>
      </c>
      <c r="B136" s="1">
        <f>ABS(Portfolios!B136-AVERAGE(Portfolios!$B$2:$B$252))</f>
        <v>0</v>
      </c>
    </row>
    <row r="137" spans="1:2">
      <c r="A137" s="11">
        <f>Returns!A137</f>
        <v>0</v>
      </c>
      <c r="B137" s="1">
        <f>ABS(Portfolios!B137-AVERAGE(Portfolios!$B$2:$B$252))</f>
        <v>0</v>
      </c>
    </row>
    <row r="138" spans="1:2">
      <c r="A138" s="11">
        <f>Returns!A138</f>
        <v>0</v>
      </c>
      <c r="B138" s="1">
        <f>ABS(Portfolios!B138-AVERAGE(Portfolios!$B$2:$B$252))</f>
        <v>0</v>
      </c>
    </row>
    <row r="139" spans="1:2">
      <c r="A139" s="11">
        <f>Returns!A139</f>
        <v>0</v>
      </c>
      <c r="B139" s="1">
        <f>ABS(Portfolios!B139-AVERAGE(Portfolios!$B$2:$B$252))</f>
        <v>0</v>
      </c>
    </row>
    <row r="140" spans="1:2">
      <c r="A140" s="11">
        <f>Returns!A140</f>
        <v>0</v>
      </c>
      <c r="B140" s="1">
        <f>ABS(Portfolios!B140-AVERAGE(Portfolios!$B$2:$B$252))</f>
        <v>0</v>
      </c>
    </row>
    <row r="141" spans="1:2">
      <c r="A141" s="11">
        <f>Returns!A141</f>
        <v>0</v>
      </c>
      <c r="B141" s="1">
        <f>ABS(Portfolios!B141-AVERAGE(Portfolios!$B$2:$B$252))</f>
        <v>0</v>
      </c>
    </row>
    <row r="142" spans="1:2">
      <c r="A142" s="11">
        <f>Returns!A142</f>
        <v>0</v>
      </c>
      <c r="B142" s="1">
        <f>ABS(Portfolios!B142-AVERAGE(Portfolios!$B$2:$B$252))</f>
        <v>0</v>
      </c>
    </row>
    <row r="143" spans="1:2">
      <c r="A143" s="11">
        <f>Returns!A143</f>
        <v>0</v>
      </c>
      <c r="B143" s="1">
        <f>ABS(Portfolios!B143-AVERAGE(Portfolios!$B$2:$B$252))</f>
        <v>0</v>
      </c>
    </row>
    <row r="144" spans="1:2">
      <c r="A144" s="11">
        <f>Returns!A144</f>
        <v>0</v>
      </c>
      <c r="B144" s="1">
        <f>ABS(Portfolios!B144-AVERAGE(Portfolios!$B$2:$B$252))</f>
        <v>0</v>
      </c>
    </row>
    <row r="145" spans="1:2">
      <c r="A145" s="11">
        <f>Returns!A145</f>
        <v>0</v>
      </c>
      <c r="B145" s="1">
        <f>ABS(Portfolios!B145-AVERAGE(Portfolios!$B$2:$B$252))</f>
        <v>0</v>
      </c>
    </row>
    <row r="146" spans="1:2">
      <c r="A146" s="11">
        <f>Returns!A146</f>
        <v>0</v>
      </c>
      <c r="B146" s="1">
        <f>ABS(Portfolios!B146-AVERAGE(Portfolios!$B$2:$B$252))</f>
        <v>0</v>
      </c>
    </row>
    <row r="147" spans="1:2">
      <c r="A147" s="11">
        <f>Returns!A147</f>
        <v>0</v>
      </c>
      <c r="B147" s="1">
        <f>ABS(Portfolios!B147-AVERAGE(Portfolios!$B$2:$B$252))</f>
        <v>0</v>
      </c>
    </row>
    <row r="148" spans="1:2">
      <c r="A148" s="11">
        <f>Returns!A148</f>
        <v>0</v>
      </c>
      <c r="B148" s="1">
        <f>ABS(Portfolios!B148-AVERAGE(Portfolios!$B$2:$B$252))</f>
        <v>0</v>
      </c>
    </row>
    <row r="149" spans="1:2">
      <c r="A149" s="11">
        <f>Returns!A149</f>
        <v>0</v>
      </c>
      <c r="B149" s="1">
        <f>ABS(Portfolios!B149-AVERAGE(Portfolios!$B$2:$B$252))</f>
        <v>0</v>
      </c>
    </row>
    <row r="150" spans="1:2">
      <c r="A150" s="11">
        <f>Returns!A150</f>
        <v>0</v>
      </c>
      <c r="B150" s="1">
        <f>ABS(Portfolios!B150-AVERAGE(Portfolios!$B$2:$B$252))</f>
        <v>0</v>
      </c>
    </row>
    <row r="151" spans="1:2">
      <c r="A151" s="11">
        <f>Returns!A151</f>
        <v>0</v>
      </c>
      <c r="B151" s="1">
        <f>ABS(Portfolios!B151-AVERAGE(Portfolios!$B$2:$B$252))</f>
        <v>0</v>
      </c>
    </row>
    <row r="152" spans="1:2">
      <c r="A152" s="11">
        <f>Returns!A152</f>
        <v>0</v>
      </c>
      <c r="B152" s="1">
        <f>ABS(Portfolios!B152-AVERAGE(Portfolios!$B$2:$B$252))</f>
        <v>0</v>
      </c>
    </row>
    <row r="153" spans="1:2">
      <c r="A153" s="11">
        <f>Returns!A153</f>
        <v>0</v>
      </c>
      <c r="B153" s="1">
        <f>ABS(Portfolios!B153-AVERAGE(Portfolios!$B$2:$B$252))</f>
        <v>0</v>
      </c>
    </row>
    <row r="154" spans="1:2">
      <c r="A154" s="11">
        <f>Returns!A154</f>
        <v>0</v>
      </c>
      <c r="B154" s="1">
        <f>ABS(Portfolios!B154-AVERAGE(Portfolios!$B$2:$B$252))</f>
        <v>0</v>
      </c>
    </row>
    <row r="155" spans="1:2">
      <c r="A155" s="11">
        <f>Returns!A155</f>
        <v>0</v>
      </c>
      <c r="B155" s="1">
        <f>ABS(Portfolios!B155-AVERAGE(Portfolios!$B$2:$B$252))</f>
        <v>0</v>
      </c>
    </row>
    <row r="156" spans="1:2">
      <c r="A156" s="11">
        <f>Returns!A156</f>
        <v>0</v>
      </c>
      <c r="B156" s="1">
        <f>ABS(Portfolios!B156-AVERAGE(Portfolios!$B$2:$B$252))</f>
        <v>0</v>
      </c>
    </row>
    <row r="157" spans="1:2">
      <c r="A157" s="11">
        <f>Returns!A157</f>
        <v>0</v>
      </c>
      <c r="B157" s="1">
        <f>ABS(Portfolios!B157-AVERAGE(Portfolios!$B$2:$B$252))</f>
        <v>0</v>
      </c>
    </row>
    <row r="158" spans="1:2">
      <c r="A158" s="11">
        <f>Returns!A158</f>
        <v>0</v>
      </c>
      <c r="B158" s="1">
        <f>ABS(Portfolios!B158-AVERAGE(Portfolios!$B$2:$B$252))</f>
        <v>0</v>
      </c>
    </row>
    <row r="159" spans="1:2">
      <c r="A159" s="11">
        <f>Returns!A159</f>
        <v>0</v>
      </c>
      <c r="B159" s="1">
        <f>ABS(Portfolios!B159-AVERAGE(Portfolios!$B$2:$B$252))</f>
        <v>0</v>
      </c>
    </row>
    <row r="160" spans="1:2">
      <c r="A160" s="11">
        <f>Returns!A160</f>
        <v>0</v>
      </c>
      <c r="B160" s="1">
        <f>ABS(Portfolios!B160-AVERAGE(Portfolios!$B$2:$B$252))</f>
        <v>0</v>
      </c>
    </row>
    <row r="161" spans="1:2">
      <c r="A161" s="11">
        <f>Returns!A161</f>
        <v>0</v>
      </c>
      <c r="B161" s="1">
        <f>ABS(Portfolios!B161-AVERAGE(Portfolios!$B$2:$B$252))</f>
        <v>0</v>
      </c>
    </row>
    <row r="162" spans="1:2">
      <c r="A162" s="11">
        <f>Returns!A162</f>
        <v>0</v>
      </c>
      <c r="B162" s="1">
        <f>ABS(Portfolios!B162-AVERAGE(Portfolios!$B$2:$B$252))</f>
        <v>0</v>
      </c>
    </row>
    <row r="163" spans="1:2">
      <c r="A163" s="11">
        <f>Returns!A163</f>
        <v>0</v>
      </c>
      <c r="B163" s="1">
        <f>ABS(Portfolios!B163-AVERAGE(Portfolios!$B$2:$B$252))</f>
        <v>0</v>
      </c>
    </row>
    <row r="164" spans="1:2">
      <c r="A164" s="11">
        <f>Returns!A164</f>
        <v>0</v>
      </c>
      <c r="B164" s="1">
        <f>ABS(Portfolios!B164-AVERAGE(Portfolios!$B$2:$B$252))</f>
        <v>0</v>
      </c>
    </row>
    <row r="165" spans="1:2">
      <c r="A165" s="11">
        <f>Returns!A165</f>
        <v>0</v>
      </c>
      <c r="B165" s="1">
        <f>ABS(Portfolios!B165-AVERAGE(Portfolios!$B$2:$B$252))</f>
        <v>0</v>
      </c>
    </row>
    <row r="166" spans="1:2">
      <c r="A166" s="11">
        <f>Returns!A166</f>
        <v>0</v>
      </c>
      <c r="B166" s="1">
        <f>ABS(Portfolios!B166-AVERAGE(Portfolios!$B$2:$B$252))</f>
        <v>0</v>
      </c>
    </row>
    <row r="167" spans="1:2">
      <c r="A167" s="11">
        <f>Returns!A167</f>
        <v>0</v>
      </c>
      <c r="B167" s="1">
        <f>ABS(Portfolios!B167-AVERAGE(Portfolios!$B$2:$B$252))</f>
        <v>0</v>
      </c>
    </row>
    <row r="168" spans="1:2">
      <c r="A168" s="11">
        <f>Returns!A168</f>
        <v>0</v>
      </c>
      <c r="B168" s="1">
        <f>ABS(Portfolios!B168-AVERAGE(Portfolios!$B$2:$B$252))</f>
        <v>0</v>
      </c>
    </row>
    <row r="169" spans="1:2">
      <c r="A169" s="11">
        <f>Returns!A169</f>
        <v>0</v>
      </c>
      <c r="B169" s="1">
        <f>ABS(Portfolios!B169-AVERAGE(Portfolios!$B$2:$B$252))</f>
        <v>0</v>
      </c>
    </row>
    <row r="170" spans="1:2">
      <c r="A170" s="11">
        <f>Returns!A170</f>
        <v>0</v>
      </c>
      <c r="B170" s="1">
        <f>ABS(Portfolios!B170-AVERAGE(Portfolios!$B$2:$B$252))</f>
        <v>0</v>
      </c>
    </row>
    <row r="171" spans="1:2">
      <c r="A171" s="11">
        <f>Returns!A171</f>
        <v>0</v>
      </c>
      <c r="B171" s="1">
        <f>ABS(Portfolios!B171-AVERAGE(Portfolios!$B$2:$B$252))</f>
        <v>0</v>
      </c>
    </row>
    <row r="172" spans="1:2">
      <c r="A172" s="11">
        <f>Returns!A172</f>
        <v>0</v>
      </c>
      <c r="B172" s="1">
        <f>ABS(Portfolios!B172-AVERAGE(Portfolios!$B$2:$B$252))</f>
        <v>0</v>
      </c>
    </row>
    <row r="173" spans="1:2">
      <c r="A173" s="11">
        <f>Returns!A173</f>
        <v>0</v>
      </c>
      <c r="B173" s="1">
        <f>ABS(Portfolios!B173-AVERAGE(Portfolios!$B$2:$B$252))</f>
        <v>0</v>
      </c>
    </row>
    <row r="174" spans="1:2">
      <c r="A174" s="11">
        <f>Returns!A174</f>
        <v>0</v>
      </c>
      <c r="B174" s="1">
        <f>ABS(Portfolios!B174-AVERAGE(Portfolios!$B$2:$B$252))</f>
        <v>0</v>
      </c>
    </row>
    <row r="175" spans="1:2">
      <c r="A175" s="11">
        <f>Returns!A175</f>
        <v>0</v>
      </c>
      <c r="B175" s="1">
        <f>ABS(Portfolios!B175-AVERAGE(Portfolios!$B$2:$B$252))</f>
        <v>0</v>
      </c>
    </row>
    <row r="176" spans="1:2">
      <c r="A176" s="11">
        <f>Returns!A176</f>
        <v>0</v>
      </c>
      <c r="B176" s="1">
        <f>ABS(Portfolios!B176-AVERAGE(Portfolios!$B$2:$B$252))</f>
        <v>0</v>
      </c>
    </row>
    <row r="177" spans="1:2">
      <c r="A177" s="11">
        <f>Returns!A177</f>
        <v>0</v>
      </c>
      <c r="B177" s="1">
        <f>ABS(Portfolios!B177-AVERAGE(Portfolios!$B$2:$B$252))</f>
        <v>0</v>
      </c>
    </row>
    <row r="178" spans="1:2">
      <c r="A178" s="11">
        <f>Returns!A178</f>
        <v>0</v>
      </c>
      <c r="B178" s="1">
        <f>ABS(Portfolios!B178-AVERAGE(Portfolios!$B$2:$B$252))</f>
        <v>0</v>
      </c>
    </row>
    <row r="179" spans="1:2">
      <c r="A179" s="11">
        <f>Returns!A179</f>
        <v>0</v>
      </c>
      <c r="B179" s="1">
        <f>ABS(Portfolios!B179-AVERAGE(Portfolios!$B$2:$B$252))</f>
        <v>0</v>
      </c>
    </row>
    <row r="180" spans="1:2">
      <c r="A180" s="11">
        <f>Returns!A180</f>
        <v>0</v>
      </c>
      <c r="B180" s="1">
        <f>ABS(Portfolios!B180-AVERAGE(Portfolios!$B$2:$B$252))</f>
        <v>0</v>
      </c>
    </row>
    <row r="181" spans="1:2">
      <c r="A181" s="11">
        <f>Returns!A181</f>
        <v>0</v>
      </c>
      <c r="B181" s="1">
        <f>ABS(Portfolios!B181-AVERAGE(Portfolios!$B$2:$B$252))</f>
        <v>0</v>
      </c>
    </row>
    <row r="182" spans="1:2">
      <c r="A182" s="11">
        <f>Returns!A182</f>
        <v>0</v>
      </c>
      <c r="B182" s="1">
        <f>ABS(Portfolios!B182-AVERAGE(Portfolios!$B$2:$B$252))</f>
        <v>0</v>
      </c>
    </row>
    <row r="183" spans="1:2">
      <c r="A183" s="11">
        <f>Returns!A183</f>
        <v>0</v>
      </c>
      <c r="B183" s="1">
        <f>ABS(Portfolios!B183-AVERAGE(Portfolios!$B$2:$B$252))</f>
        <v>0</v>
      </c>
    </row>
    <row r="184" spans="1:2">
      <c r="A184" s="11">
        <f>Returns!A184</f>
        <v>0</v>
      </c>
      <c r="B184" s="1">
        <f>ABS(Portfolios!B184-AVERAGE(Portfolios!$B$2:$B$252))</f>
        <v>0</v>
      </c>
    </row>
    <row r="185" spans="1:2">
      <c r="A185" s="11">
        <f>Returns!A185</f>
        <v>0</v>
      </c>
      <c r="B185" s="1">
        <f>ABS(Portfolios!B185-AVERAGE(Portfolios!$B$2:$B$252))</f>
        <v>0</v>
      </c>
    </row>
    <row r="186" spans="1:2">
      <c r="A186" s="11">
        <f>Returns!A186</f>
        <v>0</v>
      </c>
      <c r="B186" s="1">
        <f>ABS(Portfolios!B186-AVERAGE(Portfolios!$B$2:$B$252))</f>
        <v>0</v>
      </c>
    </row>
    <row r="187" spans="1:2">
      <c r="A187" s="11">
        <f>Returns!A187</f>
        <v>0</v>
      </c>
      <c r="B187" s="1">
        <f>ABS(Portfolios!B187-AVERAGE(Portfolios!$B$2:$B$252))</f>
        <v>0</v>
      </c>
    </row>
    <row r="188" spans="1:2">
      <c r="A188" s="11">
        <f>Returns!A188</f>
        <v>0</v>
      </c>
      <c r="B188" s="1">
        <f>ABS(Portfolios!B188-AVERAGE(Portfolios!$B$2:$B$252))</f>
        <v>0</v>
      </c>
    </row>
    <row r="189" spans="1:2">
      <c r="A189" s="11">
        <f>Returns!A189</f>
        <v>0</v>
      </c>
      <c r="B189" s="1">
        <f>ABS(Portfolios!B189-AVERAGE(Portfolios!$B$2:$B$252))</f>
        <v>0</v>
      </c>
    </row>
    <row r="190" spans="1:2">
      <c r="A190" s="11">
        <f>Returns!A190</f>
        <v>0</v>
      </c>
      <c r="B190" s="1">
        <f>ABS(Portfolios!B190-AVERAGE(Portfolios!$B$2:$B$252))</f>
        <v>0</v>
      </c>
    </row>
    <row r="191" spans="1:2">
      <c r="A191" s="11">
        <f>Returns!A191</f>
        <v>0</v>
      </c>
      <c r="B191" s="1">
        <f>ABS(Portfolios!B191-AVERAGE(Portfolios!$B$2:$B$252))</f>
        <v>0</v>
      </c>
    </row>
    <row r="192" spans="1:2">
      <c r="A192" s="11">
        <f>Returns!A192</f>
        <v>0</v>
      </c>
      <c r="B192" s="1">
        <f>ABS(Portfolios!B192-AVERAGE(Portfolios!$B$2:$B$252))</f>
        <v>0</v>
      </c>
    </row>
    <row r="193" spans="1:2">
      <c r="A193" s="11">
        <f>Returns!A193</f>
        <v>0</v>
      </c>
      <c r="B193" s="1">
        <f>ABS(Portfolios!B193-AVERAGE(Portfolios!$B$2:$B$252))</f>
        <v>0</v>
      </c>
    </row>
    <row r="194" spans="1:2">
      <c r="A194" s="11">
        <f>Returns!A194</f>
        <v>0</v>
      </c>
      <c r="B194" s="1">
        <f>ABS(Portfolios!B194-AVERAGE(Portfolios!$B$2:$B$252))</f>
        <v>0</v>
      </c>
    </row>
    <row r="195" spans="1:2">
      <c r="A195" s="11">
        <f>Returns!A195</f>
        <v>0</v>
      </c>
      <c r="B195" s="1">
        <f>ABS(Portfolios!B195-AVERAGE(Portfolios!$B$2:$B$252))</f>
        <v>0</v>
      </c>
    </row>
    <row r="196" spans="1:2">
      <c r="A196" s="11">
        <f>Returns!A196</f>
        <v>0</v>
      </c>
      <c r="B196" s="1">
        <f>ABS(Portfolios!B196-AVERAGE(Portfolios!$B$2:$B$252))</f>
        <v>0</v>
      </c>
    </row>
    <row r="197" spans="1:2">
      <c r="A197" s="11">
        <f>Returns!A197</f>
        <v>0</v>
      </c>
      <c r="B197" s="1">
        <f>ABS(Portfolios!B197-AVERAGE(Portfolios!$B$2:$B$252))</f>
        <v>0</v>
      </c>
    </row>
    <row r="198" spans="1:2">
      <c r="A198" s="11">
        <f>Returns!A198</f>
        <v>0</v>
      </c>
      <c r="B198" s="1">
        <f>ABS(Portfolios!B198-AVERAGE(Portfolios!$B$2:$B$252))</f>
        <v>0</v>
      </c>
    </row>
    <row r="199" spans="1:2">
      <c r="A199" s="11">
        <f>Returns!A199</f>
        <v>0</v>
      </c>
      <c r="B199" s="1">
        <f>ABS(Portfolios!B199-AVERAGE(Portfolios!$B$2:$B$252))</f>
        <v>0</v>
      </c>
    </row>
    <row r="200" spans="1:2">
      <c r="A200" s="11">
        <f>Returns!A200</f>
        <v>0</v>
      </c>
      <c r="B200" s="1">
        <f>ABS(Portfolios!B200-AVERAGE(Portfolios!$B$2:$B$252))</f>
        <v>0</v>
      </c>
    </row>
    <row r="201" spans="1:2">
      <c r="A201" s="11">
        <f>Returns!A201</f>
        <v>0</v>
      </c>
      <c r="B201" s="1">
        <f>ABS(Portfolios!B201-AVERAGE(Portfolios!$B$2:$B$252))</f>
        <v>0</v>
      </c>
    </row>
    <row r="202" spans="1:2">
      <c r="A202" s="11">
        <f>Returns!A202</f>
        <v>0</v>
      </c>
      <c r="B202" s="1">
        <f>ABS(Portfolios!B202-AVERAGE(Portfolios!$B$2:$B$252))</f>
        <v>0</v>
      </c>
    </row>
    <row r="203" spans="1:2">
      <c r="A203" s="11">
        <f>Returns!A203</f>
        <v>0</v>
      </c>
      <c r="B203" s="1">
        <f>ABS(Portfolios!B203-AVERAGE(Portfolios!$B$2:$B$252))</f>
        <v>0</v>
      </c>
    </row>
    <row r="204" spans="1:2">
      <c r="A204" s="11">
        <f>Returns!A204</f>
        <v>0</v>
      </c>
      <c r="B204" s="1">
        <f>ABS(Portfolios!B204-AVERAGE(Portfolios!$B$2:$B$252))</f>
        <v>0</v>
      </c>
    </row>
    <row r="205" spans="1:2">
      <c r="A205" s="11">
        <f>Returns!A205</f>
        <v>0</v>
      </c>
      <c r="B205" s="1">
        <f>ABS(Portfolios!B205-AVERAGE(Portfolios!$B$2:$B$252))</f>
        <v>0</v>
      </c>
    </row>
    <row r="206" spans="1:2">
      <c r="A206" s="11">
        <f>Returns!A206</f>
        <v>0</v>
      </c>
      <c r="B206" s="1">
        <f>ABS(Portfolios!B206-AVERAGE(Portfolios!$B$2:$B$252))</f>
        <v>0</v>
      </c>
    </row>
    <row r="207" spans="1:2">
      <c r="A207" s="11">
        <f>Returns!A207</f>
        <v>0</v>
      </c>
      <c r="B207" s="1">
        <f>ABS(Portfolios!B207-AVERAGE(Portfolios!$B$2:$B$252))</f>
        <v>0</v>
      </c>
    </row>
    <row r="208" spans="1:2">
      <c r="A208" s="11">
        <f>Returns!A208</f>
        <v>0</v>
      </c>
      <c r="B208" s="1">
        <f>ABS(Portfolios!B208-AVERAGE(Portfolios!$B$2:$B$252))</f>
        <v>0</v>
      </c>
    </row>
    <row r="209" spans="1:2">
      <c r="A209" s="11">
        <f>Returns!A209</f>
        <v>0</v>
      </c>
      <c r="B209" s="1">
        <f>ABS(Portfolios!B209-AVERAGE(Portfolios!$B$2:$B$252))</f>
        <v>0</v>
      </c>
    </row>
    <row r="210" spans="1:2">
      <c r="A210" s="11">
        <f>Returns!A210</f>
        <v>0</v>
      </c>
      <c r="B210" s="1">
        <f>ABS(Portfolios!B210-AVERAGE(Portfolios!$B$2:$B$252))</f>
        <v>0</v>
      </c>
    </row>
    <row r="211" spans="1:2">
      <c r="A211" s="11">
        <f>Returns!A211</f>
        <v>0</v>
      </c>
      <c r="B211" s="1">
        <f>ABS(Portfolios!B211-AVERAGE(Portfolios!$B$2:$B$252))</f>
        <v>0</v>
      </c>
    </row>
    <row r="212" spans="1:2">
      <c r="A212" s="11">
        <f>Returns!A212</f>
        <v>0</v>
      </c>
      <c r="B212" s="1">
        <f>ABS(Portfolios!B212-AVERAGE(Portfolios!$B$2:$B$252))</f>
        <v>0</v>
      </c>
    </row>
    <row r="213" spans="1:2">
      <c r="A213" s="11">
        <f>Returns!A213</f>
        <v>0</v>
      </c>
      <c r="B213" s="1">
        <f>ABS(Portfolios!B213-AVERAGE(Portfolios!$B$2:$B$252))</f>
        <v>0</v>
      </c>
    </row>
    <row r="214" spans="1:2">
      <c r="A214" s="11">
        <f>Returns!A214</f>
        <v>0</v>
      </c>
      <c r="B214" s="1">
        <f>ABS(Portfolios!B214-AVERAGE(Portfolios!$B$2:$B$252))</f>
        <v>0</v>
      </c>
    </row>
    <row r="215" spans="1:2">
      <c r="A215" s="11">
        <f>Returns!A215</f>
        <v>0</v>
      </c>
      <c r="B215" s="1">
        <f>ABS(Portfolios!B215-AVERAGE(Portfolios!$B$2:$B$252))</f>
        <v>0</v>
      </c>
    </row>
    <row r="216" spans="1:2">
      <c r="A216" s="11">
        <f>Returns!A216</f>
        <v>0</v>
      </c>
      <c r="B216" s="1">
        <f>ABS(Portfolios!B216-AVERAGE(Portfolios!$B$2:$B$252))</f>
        <v>0</v>
      </c>
    </row>
    <row r="217" spans="1:2">
      <c r="A217" s="11">
        <f>Returns!A217</f>
        <v>0</v>
      </c>
      <c r="B217" s="1">
        <f>ABS(Portfolios!B217-AVERAGE(Portfolios!$B$2:$B$252))</f>
        <v>0</v>
      </c>
    </row>
    <row r="218" spans="1:2">
      <c r="A218" s="11">
        <f>Returns!A218</f>
        <v>0</v>
      </c>
      <c r="B218" s="1">
        <f>ABS(Portfolios!B218-AVERAGE(Portfolios!$B$2:$B$252))</f>
        <v>0</v>
      </c>
    </row>
    <row r="219" spans="1:2">
      <c r="A219" s="11">
        <f>Returns!A219</f>
        <v>0</v>
      </c>
      <c r="B219" s="1">
        <f>ABS(Portfolios!B219-AVERAGE(Portfolios!$B$2:$B$252))</f>
        <v>0</v>
      </c>
    </row>
    <row r="220" spans="1:2">
      <c r="A220" s="11">
        <f>Returns!A220</f>
        <v>0</v>
      </c>
      <c r="B220" s="1">
        <f>ABS(Portfolios!B220-AVERAGE(Portfolios!$B$2:$B$252))</f>
        <v>0</v>
      </c>
    </row>
    <row r="221" spans="1:2">
      <c r="A221" s="11">
        <f>Returns!A221</f>
        <v>0</v>
      </c>
      <c r="B221" s="1">
        <f>ABS(Portfolios!B221-AVERAGE(Portfolios!$B$2:$B$252))</f>
        <v>0</v>
      </c>
    </row>
    <row r="222" spans="1:2">
      <c r="A222" s="11">
        <f>Returns!A222</f>
        <v>0</v>
      </c>
      <c r="B222" s="1">
        <f>ABS(Portfolios!B222-AVERAGE(Portfolios!$B$2:$B$252))</f>
        <v>0</v>
      </c>
    </row>
    <row r="223" spans="1:2">
      <c r="A223" s="11">
        <f>Returns!A223</f>
        <v>0</v>
      </c>
      <c r="B223" s="1">
        <f>ABS(Portfolios!B223-AVERAGE(Portfolios!$B$2:$B$252))</f>
        <v>0</v>
      </c>
    </row>
    <row r="224" spans="1:2">
      <c r="A224" s="11">
        <f>Returns!A224</f>
        <v>0</v>
      </c>
      <c r="B224" s="1">
        <f>ABS(Portfolios!B224-AVERAGE(Portfolios!$B$2:$B$252))</f>
        <v>0</v>
      </c>
    </row>
    <row r="225" spans="1:2">
      <c r="A225" s="11">
        <f>Returns!A225</f>
        <v>0</v>
      </c>
      <c r="B225" s="1">
        <f>ABS(Portfolios!B225-AVERAGE(Portfolios!$B$2:$B$252))</f>
        <v>0</v>
      </c>
    </row>
    <row r="226" spans="1:2">
      <c r="A226" s="11">
        <f>Returns!A226</f>
        <v>0</v>
      </c>
      <c r="B226" s="1">
        <f>ABS(Portfolios!B226-AVERAGE(Portfolios!$B$2:$B$252))</f>
        <v>0</v>
      </c>
    </row>
    <row r="227" spans="1:2">
      <c r="A227" s="11">
        <f>Returns!A227</f>
        <v>0</v>
      </c>
      <c r="B227" s="1">
        <f>ABS(Portfolios!B227-AVERAGE(Portfolios!$B$2:$B$252))</f>
        <v>0</v>
      </c>
    </row>
    <row r="228" spans="1:2">
      <c r="A228" s="11">
        <f>Returns!A228</f>
        <v>0</v>
      </c>
      <c r="B228" s="1">
        <f>ABS(Portfolios!B228-AVERAGE(Portfolios!$B$2:$B$252))</f>
        <v>0</v>
      </c>
    </row>
    <row r="229" spans="1:2">
      <c r="A229" s="11">
        <f>Returns!A229</f>
        <v>0</v>
      </c>
      <c r="B229" s="1">
        <f>ABS(Portfolios!B229-AVERAGE(Portfolios!$B$2:$B$252))</f>
        <v>0</v>
      </c>
    </row>
    <row r="230" spans="1:2">
      <c r="A230" s="11">
        <f>Returns!A230</f>
        <v>0</v>
      </c>
      <c r="B230" s="1">
        <f>ABS(Portfolios!B230-AVERAGE(Portfolios!$B$2:$B$252))</f>
        <v>0</v>
      </c>
    </row>
    <row r="231" spans="1:2">
      <c r="A231" s="11">
        <f>Returns!A231</f>
        <v>0</v>
      </c>
      <c r="B231" s="1">
        <f>ABS(Portfolios!B231-AVERAGE(Portfolios!$B$2:$B$252))</f>
        <v>0</v>
      </c>
    </row>
    <row r="232" spans="1:2">
      <c r="A232" s="11">
        <f>Returns!A232</f>
        <v>0</v>
      </c>
      <c r="B232" s="1">
        <f>ABS(Portfolios!B232-AVERAGE(Portfolios!$B$2:$B$252))</f>
        <v>0</v>
      </c>
    </row>
    <row r="233" spans="1:2">
      <c r="A233" s="11">
        <f>Returns!A233</f>
        <v>0</v>
      </c>
      <c r="B233" s="1">
        <f>ABS(Portfolios!B233-AVERAGE(Portfolios!$B$2:$B$252))</f>
        <v>0</v>
      </c>
    </row>
    <row r="234" spans="1:2">
      <c r="A234" s="11">
        <f>Returns!A234</f>
        <v>0</v>
      </c>
      <c r="B234" s="1">
        <f>ABS(Portfolios!B234-AVERAGE(Portfolios!$B$2:$B$252))</f>
        <v>0</v>
      </c>
    </row>
    <row r="235" spans="1:2">
      <c r="A235" s="11">
        <f>Returns!A235</f>
        <v>0</v>
      </c>
      <c r="B235" s="1">
        <f>ABS(Portfolios!B235-AVERAGE(Portfolios!$B$2:$B$252))</f>
        <v>0</v>
      </c>
    </row>
    <row r="236" spans="1:2">
      <c r="A236" s="11">
        <f>Returns!A236</f>
        <v>0</v>
      </c>
      <c r="B236" s="1">
        <f>ABS(Portfolios!B236-AVERAGE(Portfolios!$B$2:$B$252))</f>
        <v>0</v>
      </c>
    </row>
    <row r="237" spans="1:2">
      <c r="A237" s="11">
        <f>Returns!A237</f>
        <v>0</v>
      </c>
      <c r="B237" s="1">
        <f>ABS(Portfolios!B237-AVERAGE(Portfolios!$B$2:$B$252))</f>
        <v>0</v>
      </c>
    </row>
    <row r="238" spans="1:2">
      <c r="A238" s="11">
        <f>Returns!A238</f>
        <v>0</v>
      </c>
      <c r="B238" s="1">
        <f>ABS(Portfolios!B238-AVERAGE(Portfolios!$B$2:$B$252))</f>
        <v>0</v>
      </c>
    </row>
    <row r="239" spans="1:2">
      <c r="A239" s="11">
        <f>Returns!A239</f>
        <v>0</v>
      </c>
      <c r="B239" s="1">
        <f>ABS(Portfolios!B239-AVERAGE(Portfolios!$B$2:$B$252))</f>
        <v>0</v>
      </c>
    </row>
    <row r="240" spans="1:2">
      <c r="A240" s="11">
        <f>Returns!A240</f>
        <v>0</v>
      </c>
      <c r="B240" s="1">
        <f>ABS(Portfolios!B240-AVERAGE(Portfolios!$B$2:$B$252))</f>
        <v>0</v>
      </c>
    </row>
    <row r="241" spans="1:2">
      <c r="A241" s="11">
        <f>Returns!A241</f>
        <v>0</v>
      </c>
      <c r="B241" s="1">
        <f>ABS(Portfolios!B241-AVERAGE(Portfolios!$B$2:$B$252))</f>
        <v>0</v>
      </c>
    </row>
    <row r="242" spans="1:2">
      <c r="A242" s="11">
        <f>Returns!A242</f>
        <v>0</v>
      </c>
      <c r="B242" s="1">
        <f>ABS(Portfolios!B242-AVERAGE(Portfolios!$B$2:$B$252))</f>
        <v>0</v>
      </c>
    </row>
    <row r="243" spans="1:2">
      <c r="A243" s="11">
        <f>Returns!A243</f>
        <v>0</v>
      </c>
      <c r="B243" s="1">
        <f>ABS(Portfolios!B243-AVERAGE(Portfolios!$B$2:$B$252))</f>
        <v>0</v>
      </c>
    </row>
    <row r="244" spans="1:2">
      <c r="A244" s="11">
        <f>Returns!A244</f>
        <v>0</v>
      </c>
      <c r="B244" s="1">
        <f>ABS(Portfolios!B244-AVERAGE(Portfolios!$B$2:$B$252))</f>
        <v>0</v>
      </c>
    </row>
    <row r="245" spans="1:2">
      <c r="A245" s="11">
        <f>Returns!A245</f>
        <v>0</v>
      </c>
      <c r="B245" s="1">
        <f>ABS(Portfolios!B245-AVERAGE(Portfolios!$B$2:$B$252))</f>
        <v>0</v>
      </c>
    </row>
    <row r="246" spans="1:2">
      <c r="A246" s="11">
        <f>Returns!A246</f>
        <v>0</v>
      </c>
      <c r="B246" s="1">
        <f>ABS(Portfolios!B246-AVERAGE(Portfolios!$B$2:$B$252))</f>
        <v>0</v>
      </c>
    </row>
    <row r="247" spans="1:2">
      <c r="A247" s="11">
        <f>Returns!A247</f>
        <v>0</v>
      </c>
      <c r="B247" s="1">
        <f>ABS(Portfolios!B247-AVERAGE(Portfolios!$B$2:$B$252))</f>
        <v>0</v>
      </c>
    </row>
    <row r="248" spans="1:2">
      <c r="A248" s="11">
        <f>Returns!A248</f>
        <v>0</v>
      </c>
      <c r="B248" s="1">
        <f>ABS(Portfolios!B248-AVERAGE(Portfolios!$B$2:$B$252))</f>
        <v>0</v>
      </c>
    </row>
    <row r="249" spans="1:2">
      <c r="A249" s="11">
        <f>Returns!A249</f>
        <v>0</v>
      </c>
      <c r="B249" s="1">
        <f>ABS(Portfolios!B249-AVERAGE(Portfolios!$B$2:$B$252))</f>
        <v>0</v>
      </c>
    </row>
    <row r="250" spans="1:2">
      <c r="A250" s="11">
        <f>Returns!A250</f>
        <v>0</v>
      </c>
      <c r="B250" s="1">
        <f>ABS(Portfolios!B250-AVERAGE(Portfolios!$B$2:$B$252))</f>
        <v>0</v>
      </c>
    </row>
    <row r="251" spans="1:2">
      <c r="A251" s="11">
        <f>Returns!A251</f>
        <v>0</v>
      </c>
      <c r="B251" s="1">
        <f>ABS(Portfolios!B251-AVERAGE(Portfolios!$B$2:$B$252))</f>
        <v>0</v>
      </c>
    </row>
    <row r="252" spans="1:2">
      <c r="A252" s="11">
        <f>Returns!A252</f>
        <v>0</v>
      </c>
      <c r="B252" s="1">
        <f>ABS(Portfolios!B252-AVERAGE(Portfolios!$B$2:$B$252))</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SUM(Portfolios!$B$2)</f>
        <v>0</v>
      </c>
    </row>
    <row r="3" spans="1:2">
      <c r="A3" s="11">
        <f>Returns!A3</f>
        <v>0</v>
      </c>
      <c r="B3" s="1">
        <f>SUM(Portfolios!$B$2:$B$3)</f>
        <v>0</v>
      </c>
    </row>
    <row r="4" spans="1:2">
      <c r="A4" s="11">
        <f>Returns!A4</f>
        <v>0</v>
      </c>
      <c r="B4" s="1">
        <f>SUM(Portfolios!$B$2:$B$4)</f>
        <v>0</v>
      </c>
    </row>
    <row r="5" spans="1:2">
      <c r="A5" s="11">
        <f>Returns!A5</f>
        <v>0</v>
      </c>
      <c r="B5" s="1">
        <f>SUM(Portfolios!$B$2:$B$5)</f>
        <v>0</v>
      </c>
    </row>
    <row r="6" spans="1:2">
      <c r="A6" s="11">
        <f>Returns!A6</f>
        <v>0</v>
      </c>
      <c r="B6" s="1">
        <f>SUM(Portfolios!$B$2:$B$6)</f>
        <v>0</v>
      </c>
    </row>
    <row r="7" spans="1:2">
      <c r="A7" s="11">
        <f>Returns!A7</f>
        <v>0</v>
      </c>
      <c r="B7" s="1">
        <f>SUM(Portfolios!$B$2:$B$7)</f>
        <v>0</v>
      </c>
    </row>
    <row r="8" spans="1:2">
      <c r="A8" s="11">
        <f>Returns!A8</f>
        <v>0</v>
      </c>
      <c r="B8" s="1">
        <f>SUM(Portfolios!$B$2:$B$8)</f>
        <v>0</v>
      </c>
    </row>
    <row r="9" spans="1:2">
      <c r="A9" s="11">
        <f>Returns!A9</f>
        <v>0</v>
      </c>
      <c r="B9" s="1">
        <f>SUM(Portfolios!$B$2:$B$9)</f>
        <v>0</v>
      </c>
    </row>
    <row r="10" spans="1:2">
      <c r="A10" s="11">
        <f>Returns!A10</f>
        <v>0</v>
      </c>
      <c r="B10" s="1">
        <f>SUM(Portfolios!$B$2:$B$10)</f>
        <v>0</v>
      </c>
    </row>
    <row r="11" spans="1:2">
      <c r="A11" s="11">
        <f>Returns!A11</f>
        <v>0</v>
      </c>
      <c r="B11" s="1">
        <f>SUM(Portfolios!$B$2:$B$11)</f>
        <v>0</v>
      </c>
    </row>
    <row r="12" spans="1:2">
      <c r="A12" s="11">
        <f>Returns!A12</f>
        <v>0</v>
      </c>
      <c r="B12" s="1">
        <f>SUM(Portfolios!$B$2:$B$12)</f>
        <v>0</v>
      </c>
    </row>
    <row r="13" spans="1:2">
      <c r="A13" s="11">
        <f>Returns!A13</f>
        <v>0</v>
      </c>
      <c r="B13" s="1">
        <f>SUM(Portfolios!$B$2:$B$13)</f>
        <v>0</v>
      </c>
    </row>
    <row r="14" spans="1:2">
      <c r="A14" s="11">
        <f>Returns!A14</f>
        <v>0</v>
      </c>
      <c r="B14" s="1">
        <f>SUM(Portfolios!$B$2:$B$14)</f>
        <v>0</v>
      </c>
    </row>
    <row r="15" spans="1:2">
      <c r="A15" s="11">
        <f>Returns!A15</f>
        <v>0</v>
      </c>
      <c r="B15" s="1">
        <f>SUM(Portfolios!$B$2:$B$15)</f>
        <v>0</v>
      </c>
    </row>
    <row r="16" spans="1:2">
      <c r="A16" s="11">
        <f>Returns!A16</f>
        <v>0</v>
      </c>
      <c r="B16" s="1">
        <f>SUM(Portfolios!$B$2:$B$16)</f>
        <v>0</v>
      </c>
    </row>
    <row r="17" spans="1:2">
      <c r="A17" s="11">
        <f>Returns!A17</f>
        <v>0</v>
      </c>
      <c r="B17" s="1">
        <f>SUM(Portfolios!$B$2:$B$17)</f>
        <v>0</v>
      </c>
    </row>
    <row r="18" spans="1:2">
      <c r="A18" s="11">
        <f>Returns!A18</f>
        <v>0</v>
      </c>
      <c r="B18" s="1">
        <f>SUM(Portfolios!$B$2:$B$18)</f>
        <v>0</v>
      </c>
    </row>
    <row r="19" spans="1:2">
      <c r="A19" s="11">
        <f>Returns!A19</f>
        <v>0</v>
      </c>
      <c r="B19" s="1">
        <f>SUM(Portfolios!$B$2:$B$19)</f>
        <v>0</v>
      </c>
    </row>
    <row r="20" spans="1:2">
      <c r="A20" s="11">
        <f>Returns!A20</f>
        <v>0</v>
      </c>
      <c r="B20" s="1">
        <f>SUM(Portfolios!$B$2:$B$20)</f>
        <v>0</v>
      </c>
    </row>
    <row r="21" spans="1:2">
      <c r="A21" s="11">
        <f>Returns!A21</f>
        <v>0</v>
      </c>
      <c r="B21" s="1">
        <f>SUM(Portfolios!$B$2:$B$21)</f>
        <v>0</v>
      </c>
    </row>
    <row r="22" spans="1:2">
      <c r="A22" s="11">
        <f>Returns!A22</f>
        <v>0</v>
      </c>
      <c r="B22" s="1">
        <f>SUM(Portfolios!$B$2:$B$22)</f>
        <v>0</v>
      </c>
    </row>
    <row r="23" spans="1:2">
      <c r="A23" s="11">
        <f>Returns!A23</f>
        <v>0</v>
      </c>
      <c r="B23" s="1">
        <f>SUM(Portfolios!$B$2:$B$23)</f>
        <v>0</v>
      </c>
    </row>
    <row r="24" spans="1:2">
      <c r="A24" s="11">
        <f>Returns!A24</f>
        <v>0</v>
      </c>
      <c r="B24" s="1">
        <f>SUM(Portfolios!$B$2:$B$24)</f>
        <v>0</v>
      </c>
    </row>
    <row r="25" spans="1:2">
      <c r="A25" s="11">
        <f>Returns!A25</f>
        <v>0</v>
      </c>
      <c r="B25" s="1">
        <f>SUM(Portfolios!$B$2:$B$25)</f>
        <v>0</v>
      </c>
    </row>
    <row r="26" spans="1:2">
      <c r="A26" s="11">
        <f>Returns!A26</f>
        <v>0</v>
      </c>
      <c r="B26" s="1">
        <f>SUM(Portfolios!$B$2:$B$26)</f>
        <v>0</v>
      </c>
    </row>
    <row r="27" spans="1:2">
      <c r="A27" s="11">
        <f>Returns!A27</f>
        <v>0</v>
      </c>
      <c r="B27" s="1">
        <f>SUM(Portfolios!$B$2:$B$27)</f>
        <v>0</v>
      </c>
    </row>
    <row r="28" spans="1:2">
      <c r="A28" s="11">
        <f>Returns!A28</f>
        <v>0</v>
      </c>
      <c r="B28" s="1">
        <f>SUM(Portfolios!$B$2:$B$28)</f>
        <v>0</v>
      </c>
    </row>
    <row r="29" spans="1:2">
      <c r="A29" s="11">
        <f>Returns!A29</f>
        <v>0</v>
      </c>
      <c r="B29" s="1">
        <f>SUM(Portfolios!$B$2:$B$29)</f>
        <v>0</v>
      </c>
    </row>
    <row r="30" spans="1:2">
      <c r="A30" s="11">
        <f>Returns!A30</f>
        <v>0</v>
      </c>
      <c r="B30" s="1">
        <f>SUM(Portfolios!$B$2:$B$30)</f>
        <v>0</v>
      </c>
    </row>
    <row r="31" spans="1:2">
      <c r="A31" s="11">
        <f>Returns!A31</f>
        <v>0</v>
      </c>
      <c r="B31" s="1">
        <f>SUM(Portfolios!$B$2:$B$31)</f>
        <v>0</v>
      </c>
    </row>
    <row r="32" spans="1:2">
      <c r="A32" s="11">
        <f>Returns!A32</f>
        <v>0</v>
      </c>
      <c r="B32" s="1">
        <f>SUM(Portfolios!$B$2:$B$32)</f>
        <v>0</v>
      </c>
    </row>
    <row r="33" spans="1:2">
      <c r="A33" s="11">
        <f>Returns!A33</f>
        <v>0</v>
      </c>
      <c r="B33" s="1">
        <f>SUM(Portfolios!$B$2:$B$33)</f>
        <v>0</v>
      </c>
    </row>
    <row r="34" spans="1:2">
      <c r="A34" s="11">
        <f>Returns!A34</f>
        <v>0</v>
      </c>
      <c r="B34" s="1">
        <f>SUM(Portfolios!$B$2:$B$34)</f>
        <v>0</v>
      </c>
    </row>
    <row r="35" spans="1:2">
      <c r="A35" s="11">
        <f>Returns!A35</f>
        <v>0</v>
      </c>
      <c r="B35" s="1">
        <f>SUM(Portfolios!$B$2:$B$35)</f>
        <v>0</v>
      </c>
    </row>
    <row r="36" spans="1:2">
      <c r="A36" s="11">
        <f>Returns!A36</f>
        <v>0</v>
      </c>
      <c r="B36" s="1">
        <f>SUM(Portfolios!$B$2:$B$36)</f>
        <v>0</v>
      </c>
    </row>
    <row r="37" spans="1:2">
      <c r="A37" s="11">
        <f>Returns!A37</f>
        <v>0</v>
      </c>
      <c r="B37" s="1">
        <f>SUM(Portfolios!$B$2:$B$37)</f>
        <v>0</v>
      </c>
    </row>
    <row r="38" spans="1:2">
      <c r="A38" s="11">
        <f>Returns!A38</f>
        <v>0</v>
      </c>
      <c r="B38" s="1">
        <f>SUM(Portfolios!$B$2:$B$38)</f>
        <v>0</v>
      </c>
    </row>
    <row r="39" spans="1:2">
      <c r="A39" s="11">
        <f>Returns!A39</f>
        <v>0</v>
      </c>
      <c r="B39" s="1">
        <f>SUM(Portfolios!$B$2:$B$39)</f>
        <v>0</v>
      </c>
    </row>
    <row r="40" spans="1:2">
      <c r="A40" s="11">
        <f>Returns!A40</f>
        <v>0</v>
      </c>
      <c r="B40" s="1">
        <f>SUM(Portfolios!$B$2:$B$40)</f>
        <v>0</v>
      </c>
    </row>
    <row r="41" spans="1:2">
      <c r="A41" s="11">
        <f>Returns!A41</f>
        <v>0</v>
      </c>
      <c r="B41" s="1">
        <f>SUM(Portfolios!$B$2:$B$41)</f>
        <v>0</v>
      </c>
    </row>
    <row r="42" spans="1:2">
      <c r="A42" s="11">
        <f>Returns!A42</f>
        <v>0</v>
      </c>
      <c r="B42" s="1">
        <f>SUM(Portfolios!$B$2:$B$42)</f>
        <v>0</v>
      </c>
    </row>
    <row r="43" spans="1:2">
      <c r="A43" s="11">
        <f>Returns!A43</f>
        <v>0</v>
      </c>
      <c r="B43" s="1">
        <f>SUM(Portfolios!$B$2:$B$43)</f>
        <v>0</v>
      </c>
    </row>
    <row r="44" spans="1:2">
      <c r="A44" s="11">
        <f>Returns!A44</f>
        <v>0</v>
      </c>
      <c r="B44" s="1">
        <f>SUM(Portfolios!$B$2:$B$44)</f>
        <v>0</v>
      </c>
    </row>
    <row r="45" spans="1:2">
      <c r="A45" s="11">
        <f>Returns!A45</f>
        <v>0</v>
      </c>
      <c r="B45" s="1">
        <f>SUM(Portfolios!$B$2:$B$45)</f>
        <v>0</v>
      </c>
    </row>
    <row r="46" spans="1:2">
      <c r="A46" s="11">
        <f>Returns!A46</f>
        <v>0</v>
      </c>
      <c r="B46" s="1">
        <f>SUM(Portfolios!$B$2:$B$46)</f>
        <v>0</v>
      </c>
    </row>
    <row r="47" spans="1:2">
      <c r="A47" s="11">
        <f>Returns!A47</f>
        <v>0</v>
      </c>
      <c r="B47" s="1">
        <f>SUM(Portfolios!$B$2:$B$47)</f>
        <v>0</v>
      </c>
    </row>
    <row r="48" spans="1:2">
      <c r="A48" s="11">
        <f>Returns!A48</f>
        <v>0</v>
      </c>
      <c r="B48" s="1">
        <f>SUM(Portfolios!$B$2:$B$48)</f>
        <v>0</v>
      </c>
    </row>
    <row r="49" spans="1:2">
      <c r="A49" s="11">
        <f>Returns!A49</f>
        <v>0</v>
      </c>
      <c r="B49" s="1">
        <f>SUM(Portfolios!$B$2:$B$49)</f>
        <v>0</v>
      </c>
    </row>
    <row r="50" spans="1:2">
      <c r="A50" s="11">
        <f>Returns!A50</f>
        <v>0</v>
      </c>
      <c r="B50" s="1">
        <f>SUM(Portfolios!$B$2:$B$50)</f>
        <v>0</v>
      </c>
    </row>
    <row r="51" spans="1:2">
      <c r="A51" s="11">
        <f>Returns!A51</f>
        <v>0</v>
      </c>
      <c r="B51" s="1">
        <f>SUM(Portfolios!$B$2:$B$51)</f>
        <v>0</v>
      </c>
    </row>
    <row r="52" spans="1:2">
      <c r="A52" s="11">
        <f>Returns!A52</f>
        <v>0</v>
      </c>
      <c r="B52" s="1">
        <f>SUM(Portfolios!$B$2:$B$52)</f>
        <v>0</v>
      </c>
    </row>
    <row r="53" spans="1:2">
      <c r="A53" s="11">
        <f>Returns!A53</f>
        <v>0</v>
      </c>
      <c r="B53" s="1">
        <f>SUM(Portfolios!$B$2:$B$53)</f>
        <v>0</v>
      </c>
    </row>
    <row r="54" spans="1:2">
      <c r="A54" s="11">
        <f>Returns!A54</f>
        <v>0</v>
      </c>
      <c r="B54" s="1">
        <f>SUM(Portfolios!$B$2:$B$54)</f>
        <v>0</v>
      </c>
    </row>
    <row r="55" spans="1:2">
      <c r="A55" s="11">
        <f>Returns!A55</f>
        <v>0</v>
      </c>
      <c r="B55" s="1">
        <f>SUM(Portfolios!$B$2:$B$55)</f>
        <v>0</v>
      </c>
    </row>
    <row r="56" spans="1:2">
      <c r="A56" s="11">
        <f>Returns!A56</f>
        <v>0</v>
      </c>
      <c r="B56" s="1">
        <f>SUM(Portfolios!$B$2:$B$56)</f>
        <v>0</v>
      </c>
    </row>
    <row r="57" spans="1:2">
      <c r="A57" s="11">
        <f>Returns!A57</f>
        <v>0</v>
      </c>
      <c r="B57" s="1">
        <f>SUM(Portfolios!$B$2:$B$57)</f>
        <v>0</v>
      </c>
    </row>
    <row r="58" spans="1:2">
      <c r="A58" s="11">
        <f>Returns!A58</f>
        <v>0</v>
      </c>
      <c r="B58" s="1">
        <f>SUM(Portfolios!$B$2:$B$58)</f>
        <v>0</v>
      </c>
    </row>
    <row r="59" spans="1:2">
      <c r="A59" s="11">
        <f>Returns!A59</f>
        <v>0</v>
      </c>
      <c r="B59" s="1">
        <f>SUM(Portfolios!$B$2:$B$59)</f>
        <v>0</v>
      </c>
    </row>
    <row r="60" spans="1:2">
      <c r="A60" s="11">
        <f>Returns!A60</f>
        <v>0</v>
      </c>
      <c r="B60" s="1">
        <f>SUM(Portfolios!$B$2:$B$60)</f>
        <v>0</v>
      </c>
    </row>
    <row r="61" spans="1:2">
      <c r="A61" s="11">
        <f>Returns!A61</f>
        <v>0</v>
      </c>
      <c r="B61" s="1">
        <f>SUM(Portfolios!$B$2:$B$61)</f>
        <v>0</v>
      </c>
    </row>
    <row r="62" spans="1:2">
      <c r="A62" s="11">
        <f>Returns!A62</f>
        <v>0</v>
      </c>
      <c r="B62" s="1">
        <f>SUM(Portfolios!$B$2:$B$62)</f>
        <v>0</v>
      </c>
    </row>
    <row r="63" spans="1:2">
      <c r="A63" s="11">
        <f>Returns!A63</f>
        <v>0</v>
      </c>
      <c r="B63" s="1">
        <f>SUM(Portfolios!$B$2:$B$63)</f>
        <v>0</v>
      </c>
    </row>
    <row r="64" spans="1:2">
      <c r="A64" s="11">
        <f>Returns!A64</f>
        <v>0</v>
      </c>
      <c r="B64" s="1">
        <f>SUM(Portfolios!$B$2:$B$64)</f>
        <v>0</v>
      </c>
    </row>
    <row r="65" spans="1:2">
      <c r="A65" s="11">
        <f>Returns!A65</f>
        <v>0</v>
      </c>
      <c r="B65" s="1">
        <f>SUM(Portfolios!$B$2:$B$65)</f>
        <v>0</v>
      </c>
    </row>
    <row r="66" spans="1:2">
      <c r="A66" s="11">
        <f>Returns!A66</f>
        <v>0</v>
      </c>
      <c r="B66" s="1">
        <f>SUM(Portfolios!$B$2:$B$66)</f>
        <v>0</v>
      </c>
    </row>
    <row r="67" spans="1:2">
      <c r="A67" s="11">
        <f>Returns!A67</f>
        <v>0</v>
      </c>
      <c r="B67" s="1">
        <f>SUM(Portfolios!$B$2:$B$67)</f>
        <v>0</v>
      </c>
    </row>
    <row r="68" spans="1:2">
      <c r="A68" s="11">
        <f>Returns!A68</f>
        <v>0</v>
      </c>
      <c r="B68" s="1">
        <f>SUM(Portfolios!$B$2:$B$68)</f>
        <v>0</v>
      </c>
    </row>
    <row r="69" spans="1:2">
      <c r="A69" s="11">
        <f>Returns!A69</f>
        <v>0</v>
      </c>
      <c r="B69" s="1">
        <f>SUM(Portfolios!$B$2:$B$69)</f>
        <v>0</v>
      </c>
    </row>
    <row r="70" spans="1:2">
      <c r="A70" s="11">
        <f>Returns!A70</f>
        <v>0</v>
      </c>
      <c r="B70" s="1">
        <f>SUM(Portfolios!$B$2:$B$70)</f>
        <v>0</v>
      </c>
    </row>
    <row r="71" spans="1:2">
      <c r="A71" s="11">
        <f>Returns!A71</f>
        <v>0</v>
      </c>
      <c r="B71" s="1">
        <f>SUM(Portfolios!$B$2:$B$71)</f>
        <v>0</v>
      </c>
    </row>
    <row r="72" spans="1:2">
      <c r="A72" s="11">
        <f>Returns!A72</f>
        <v>0</v>
      </c>
      <c r="B72" s="1">
        <f>SUM(Portfolios!$B$2:$B$72)</f>
        <v>0</v>
      </c>
    </row>
    <row r="73" spans="1:2">
      <c r="A73" s="11">
        <f>Returns!A73</f>
        <v>0</v>
      </c>
      <c r="B73" s="1">
        <f>SUM(Portfolios!$B$2:$B$73)</f>
        <v>0</v>
      </c>
    </row>
    <row r="74" spans="1:2">
      <c r="A74" s="11">
        <f>Returns!A74</f>
        <v>0</v>
      </c>
      <c r="B74" s="1">
        <f>SUM(Portfolios!$B$2:$B$74)</f>
        <v>0</v>
      </c>
    </row>
    <row r="75" spans="1:2">
      <c r="A75" s="11">
        <f>Returns!A75</f>
        <v>0</v>
      </c>
      <c r="B75" s="1">
        <f>SUM(Portfolios!$B$2:$B$75)</f>
        <v>0</v>
      </c>
    </row>
    <row r="76" spans="1:2">
      <c r="A76" s="11">
        <f>Returns!A76</f>
        <v>0</v>
      </c>
      <c r="B76" s="1">
        <f>SUM(Portfolios!$B$2:$B$76)</f>
        <v>0</v>
      </c>
    </row>
    <row r="77" spans="1:2">
      <c r="A77" s="11">
        <f>Returns!A77</f>
        <v>0</v>
      </c>
      <c r="B77" s="1">
        <f>SUM(Portfolios!$B$2:$B$77)</f>
        <v>0</v>
      </c>
    </row>
    <row r="78" spans="1:2">
      <c r="A78" s="11">
        <f>Returns!A78</f>
        <v>0</v>
      </c>
      <c r="B78" s="1">
        <f>SUM(Portfolios!$B$2:$B$78)</f>
        <v>0</v>
      </c>
    </row>
    <row r="79" spans="1:2">
      <c r="A79" s="11">
        <f>Returns!A79</f>
        <v>0</v>
      </c>
      <c r="B79" s="1">
        <f>SUM(Portfolios!$B$2:$B$79)</f>
        <v>0</v>
      </c>
    </row>
    <row r="80" spans="1:2">
      <c r="A80" s="11">
        <f>Returns!A80</f>
        <v>0</v>
      </c>
      <c r="B80" s="1">
        <f>SUM(Portfolios!$B$2:$B$80)</f>
        <v>0</v>
      </c>
    </row>
    <row r="81" spans="1:2">
      <c r="A81" s="11">
        <f>Returns!A81</f>
        <v>0</v>
      </c>
      <c r="B81" s="1">
        <f>SUM(Portfolios!$B$2:$B$81)</f>
        <v>0</v>
      </c>
    </row>
    <row r="82" spans="1:2">
      <c r="A82" s="11">
        <f>Returns!A82</f>
        <v>0</v>
      </c>
      <c r="B82" s="1">
        <f>SUM(Portfolios!$B$2:$B$82)</f>
        <v>0</v>
      </c>
    </row>
    <row r="83" spans="1:2">
      <c r="A83" s="11">
        <f>Returns!A83</f>
        <v>0</v>
      </c>
      <c r="B83" s="1">
        <f>SUM(Portfolios!$B$2:$B$83)</f>
        <v>0</v>
      </c>
    </row>
    <row r="84" spans="1:2">
      <c r="A84" s="11">
        <f>Returns!A84</f>
        <v>0</v>
      </c>
      <c r="B84" s="1">
        <f>SUM(Portfolios!$B$2:$B$84)</f>
        <v>0</v>
      </c>
    </row>
    <row r="85" spans="1:2">
      <c r="A85" s="11">
        <f>Returns!A85</f>
        <v>0</v>
      </c>
      <c r="B85" s="1">
        <f>SUM(Portfolios!$B$2:$B$85)</f>
        <v>0</v>
      </c>
    </row>
    <row r="86" spans="1:2">
      <c r="A86" s="11">
        <f>Returns!A86</f>
        <v>0</v>
      </c>
      <c r="B86" s="1">
        <f>SUM(Portfolios!$B$2:$B$86)</f>
        <v>0</v>
      </c>
    </row>
    <row r="87" spans="1:2">
      <c r="A87" s="11">
        <f>Returns!A87</f>
        <v>0</v>
      </c>
      <c r="B87" s="1">
        <f>SUM(Portfolios!$B$2:$B$87)</f>
        <v>0</v>
      </c>
    </row>
    <row r="88" spans="1:2">
      <c r="A88" s="11">
        <f>Returns!A88</f>
        <v>0</v>
      </c>
      <c r="B88" s="1">
        <f>SUM(Portfolios!$B$2:$B$88)</f>
        <v>0</v>
      </c>
    </row>
    <row r="89" spans="1:2">
      <c r="A89" s="11">
        <f>Returns!A89</f>
        <v>0</v>
      </c>
      <c r="B89" s="1">
        <f>SUM(Portfolios!$B$2:$B$89)</f>
        <v>0</v>
      </c>
    </row>
    <row r="90" spans="1:2">
      <c r="A90" s="11">
        <f>Returns!A90</f>
        <v>0</v>
      </c>
      <c r="B90" s="1">
        <f>SUM(Portfolios!$B$2:$B$90)</f>
        <v>0</v>
      </c>
    </row>
    <row r="91" spans="1:2">
      <c r="A91" s="11">
        <f>Returns!A91</f>
        <v>0</v>
      </c>
      <c r="B91" s="1">
        <f>SUM(Portfolios!$B$2:$B$91)</f>
        <v>0</v>
      </c>
    </row>
    <row r="92" spans="1:2">
      <c r="A92" s="11">
        <f>Returns!A92</f>
        <v>0</v>
      </c>
      <c r="B92" s="1">
        <f>SUM(Portfolios!$B$2:$B$92)</f>
        <v>0</v>
      </c>
    </row>
    <row r="93" spans="1:2">
      <c r="A93" s="11">
        <f>Returns!A93</f>
        <v>0</v>
      </c>
      <c r="B93" s="1">
        <f>SUM(Portfolios!$B$2:$B$93)</f>
        <v>0</v>
      </c>
    </row>
    <row r="94" spans="1:2">
      <c r="A94" s="11">
        <f>Returns!A94</f>
        <v>0</v>
      </c>
      <c r="B94" s="1">
        <f>SUM(Portfolios!$B$2:$B$94)</f>
        <v>0</v>
      </c>
    </row>
    <row r="95" spans="1:2">
      <c r="A95" s="11">
        <f>Returns!A95</f>
        <v>0</v>
      </c>
      <c r="B95" s="1">
        <f>SUM(Portfolios!$B$2:$B$95)</f>
        <v>0</v>
      </c>
    </row>
    <row r="96" spans="1:2">
      <c r="A96" s="11">
        <f>Returns!A96</f>
        <v>0</v>
      </c>
      <c r="B96" s="1">
        <f>SUM(Portfolios!$B$2:$B$96)</f>
        <v>0</v>
      </c>
    </row>
    <row r="97" spans="1:2">
      <c r="A97" s="11">
        <f>Returns!A97</f>
        <v>0</v>
      </c>
      <c r="B97" s="1">
        <f>SUM(Portfolios!$B$2:$B$97)</f>
        <v>0</v>
      </c>
    </row>
    <row r="98" spans="1:2">
      <c r="A98" s="11">
        <f>Returns!A98</f>
        <v>0</v>
      </c>
      <c r="B98" s="1">
        <f>SUM(Portfolios!$B$2:$B$98)</f>
        <v>0</v>
      </c>
    </row>
    <row r="99" spans="1:2">
      <c r="A99" s="11">
        <f>Returns!A99</f>
        <v>0</v>
      </c>
      <c r="B99" s="1">
        <f>SUM(Portfolios!$B$2:$B$99)</f>
        <v>0</v>
      </c>
    </row>
    <row r="100" spans="1:2">
      <c r="A100" s="11">
        <f>Returns!A100</f>
        <v>0</v>
      </c>
      <c r="B100" s="1">
        <f>SUM(Portfolios!$B$2:$B$100)</f>
        <v>0</v>
      </c>
    </row>
    <row r="101" spans="1:2">
      <c r="A101" s="11">
        <f>Returns!A101</f>
        <v>0</v>
      </c>
      <c r="B101" s="1">
        <f>SUM(Portfolios!$B$2:$B$101)</f>
        <v>0</v>
      </c>
    </row>
    <row r="102" spans="1:2">
      <c r="A102" s="11">
        <f>Returns!A102</f>
        <v>0</v>
      </c>
      <c r="B102" s="1">
        <f>SUM(Portfolios!$B$2:$B$102)</f>
        <v>0</v>
      </c>
    </row>
    <row r="103" spans="1:2">
      <c r="A103" s="11">
        <f>Returns!A103</f>
        <v>0</v>
      </c>
      <c r="B103" s="1">
        <f>SUM(Portfolios!$B$2:$B$103)</f>
        <v>0</v>
      </c>
    </row>
    <row r="104" spans="1:2">
      <c r="A104" s="11">
        <f>Returns!A104</f>
        <v>0</v>
      </c>
      <c r="B104" s="1">
        <f>SUM(Portfolios!$B$2:$B$104)</f>
        <v>0</v>
      </c>
    </row>
    <row r="105" spans="1:2">
      <c r="A105" s="11">
        <f>Returns!A105</f>
        <v>0</v>
      </c>
      <c r="B105" s="1">
        <f>SUM(Portfolios!$B$2:$B$105)</f>
        <v>0</v>
      </c>
    </row>
    <row r="106" spans="1:2">
      <c r="A106" s="11">
        <f>Returns!A106</f>
        <v>0</v>
      </c>
      <c r="B106" s="1">
        <f>SUM(Portfolios!$B$2:$B$106)</f>
        <v>0</v>
      </c>
    </row>
    <row r="107" spans="1:2">
      <c r="A107" s="11">
        <f>Returns!A107</f>
        <v>0</v>
      </c>
      <c r="B107" s="1">
        <f>SUM(Portfolios!$B$2:$B$107)</f>
        <v>0</v>
      </c>
    </row>
    <row r="108" spans="1:2">
      <c r="A108" s="11">
        <f>Returns!A108</f>
        <v>0</v>
      </c>
      <c r="B108" s="1">
        <f>SUM(Portfolios!$B$2:$B$108)</f>
        <v>0</v>
      </c>
    </row>
    <row r="109" spans="1:2">
      <c r="A109" s="11">
        <f>Returns!A109</f>
        <v>0</v>
      </c>
      <c r="B109" s="1">
        <f>SUM(Portfolios!$B$2:$B$109)</f>
        <v>0</v>
      </c>
    </row>
    <row r="110" spans="1:2">
      <c r="A110" s="11">
        <f>Returns!A110</f>
        <v>0</v>
      </c>
      <c r="B110" s="1">
        <f>SUM(Portfolios!$B$2:$B$110)</f>
        <v>0</v>
      </c>
    </row>
    <row r="111" spans="1:2">
      <c r="A111" s="11">
        <f>Returns!A111</f>
        <v>0</v>
      </c>
      <c r="B111" s="1">
        <f>SUM(Portfolios!$B$2:$B$111)</f>
        <v>0</v>
      </c>
    </row>
    <row r="112" spans="1:2">
      <c r="A112" s="11">
        <f>Returns!A112</f>
        <v>0</v>
      </c>
      <c r="B112" s="1">
        <f>SUM(Portfolios!$B$2:$B$112)</f>
        <v>0</v>
      </c>
    </row>
    <row r="113" spans="1:2">
      <c r="A113" s="11">
        <f>Returns!A113</f>
        <v>0</v>
      </c>
      <c r="B113" s="1">
        <f>SUM(Portfolios!$B$2:$B$113)</f>
        <v>0</v>
      </c>
    </row>
    <row r="114" spans="1:2">
      <c r="A114" s="11">
        <f>Returns!A114</f>
        <v>0</v>
      </c>
      <c r="B114" s="1">
        <f>SUM(Portfolios!$B$2:$B$114)</f>
        <v>0</v>
      </c>
    </row>
    <row r="115" spans="1:2">
      <c r="A115" s="11">
        <f>Returns!A115</f>
        <v>0</v>
      </c>
      <c r="B115" s="1">
        <f>SUM(Portfolios!$B$2:$B$115)</f>
        <v>0</v>
      </c>
    </row>
    <row r="116" spans="1:2">
      <c r="A116" s="11">
        <f>Returns!A116</f>
        <v>0</v>
      </c>
      <c r="B116" s="1">
        <f>SUM(Portfolios!$B$2:$B$116)</f>
        <v>0</v>
      </c>
    </row>
    <row r="117" spans="1:2">
      <c r="A117" s="11">
        <f>Returns!A117</f>
        <v>0</v>
      </c>
      <c r="B117" s="1">
        <f>SUM(Portfolios!$B$2:$B$117)</f>
        <v>0</v>
      </c>
    </row>
    <row r="118" spans="1:2">
      <c r="A118" s="11">
        <f>Returns!A118</f>
        <v>0</v>
      </c>
      <c r="B118" s="1">
        <f>SUM(Portfolios!$B$2:$B$118)</f>
        <v>0</v>
      </c>
    </row>
    <row r="119" spans="1:2">
      <c r="A119" s="11">
        <f>Returns!A119</f>
        <v>0</v>
      </c>
      <c r="B119" s="1">
        <f>SUM(Portfolios!$B$2:$B$119)</f>
        <v>0</v>
      </c>
    </row>
    <row r="120" spans="1:2">
      <c r="A120" s="11">
        <f>Returns!A120</f>
        <v>0</v>
      </c>
      <c r="B120" s="1">
        <f>SUM(Portfolios!$B$2:$B$120)</f>
        <v>0</v>
      </c>
    </row>
    <row r="121" spans="1:2">
      <c r="A121" s="11">
        <f>Returns!A121</f>
        <v>0</v>
      </c>
      <c r="B121" s="1">
        <f>SUM(Portfolios!$B$2:$B$121)</f>
        <v>0</v>
      </c>
    </row>
    <row r="122" spans="1:2">
      <c r="A122" s="11">
        <f>Returns!A122</f>
        <v>0</v>
      </c>
      <c r="B122" s="1">
        <f>SUM(Portfolios!$B$2:$B$122)</f>
        <v>0</v>
      </c>
    </row>
    <row r="123" spans="1:2">
      <c r="A123" s="11">
        <f>Returns!A123</f>
        <v>0</v>
      </c>
      <c r="B123" s="1">
        <f>SUM(Portfolios!$B$2:$B$123)</f>
        <v>0</v>
      </c>
    </row>
    <row r="124" spans="1:2">
      <c r="A124" s="11">
        <f>Returns!A124</f>
        <v>0</v>
      </c>
      <c r="B124" s="1">
        <f>SUM(Portfolios!$B$2:$B$124)</f>
        <v>0</v>
      </c>
    </row>
    <row r="125" spans="1:2">
      <c r="A125" s="11">
        <f>Returns!A125</f>
        <v>0</v>
      </c>
      <c r="B125" s="1">
        <f>SUM(Portfolios!$B$2:$B$125)</f>
        <v>0</v>
      </c>
    </row>
    <row r="126" spans="1:2">
      <c r="A126" s="11">
        <f>Returns!A126</f>
        <v>0</v>
      </c>
      <c r="B126" s="1">
        <f>SUM(Portfolios!$B$2:$B$126)</f>
        <v>0</v>
      </c>
    </row>
    <row r="127" spans="1:2">
      <c r="A127" s="11">
        <f>Returns!A127</f>
        <v>0</v>
      </c>
      <c r="B127" s="1">
        <f>SUM(Portfolios!$B$2:$B$127)</f>
        <v>0</v>
      </c>
    </row>
    <row r="128" spans="1:2">
      <c r="A128" s="11">
        <f>Returns!A128</f>
        <v>0</v>
      </c>
      <c r="B128" s="1">
        <f>SUM(Portfolios!$B$2:$B$128)</f>
        <v>0</v>
      </c>
    </row>
    <row r="129" spans="1:2">
      <c r="A129" s="11">
        <f>Returns!A129</f>
        <v>0</v>
      </c>
      <c r="B129" s="1">
        <f>SUM(Portfolios!$B$2:$B$129)</f>
        <v>0</v>
      </c>
    </row>
    <row r="130" spans="1:2">
      <c r="A130" s="11">
        <f>Returns!A130</f>
        <v>0</v>
      </c>
      <c r="B130" s="1">
        <f>SUM(Portfolios!$B$2:$B$130)</f>
        <v>0</v>
      </c>
    </row>
    <row r="131" spans="1:2">
      <c r="A131" s="11">
        <f>Returns!A131</f>
        <v>0</v>
      </c>
      <c r="B131" s="1">
        <f>SUM(Portfolios!$B$2:$B$131)</f>
        <v>0</v>
      </c>
    </row>
    <row r="132" spans="1:2">
      <c r="A132" s="11">
        <f>Returns!A132</f>
        <v>0</v>
      </c>
      <c r="B132" s="1">
        <f>SUM(Portfolios!$B$2:$B$132)</f>
        <v>0</v>
      </c>
    </row>
    <row r="133" spans="1:2">
      <c r="A133" s="11">
        <f>Returns!A133</f>
        <v>0</v>
      </c>
      <c r="B133" s="1">
        <f>SUM(Portfolios!$B$2:$B$133)</f>
        <v>0</v>
      </c>
    </row>
    <row r="134" spans="1:2">
      <c r="A134" s="11">
        <f>Returns!A134</f>
        <v>0</v>
      </c>
      <c r="B134" s="1">
        <f>SUM(Portfolios!$B$2:$B$134)</f>
        <v>0</v>
      </c>
    </row>
    <row r="135" spans="1:2">
      <c r="A135" s="11">
        <f>Returns!A135</f>
        <v>0</v>
      </c>
      <c r="B135" s="1">
        <f>SUM(Portfolios!$B$2:$B$135)</f>
        <v>0</v>
      </c>
    </row>
    <row r="136" spans="1:2">
      <c r="A136" s="11">
        <f>Returns!A136</f>
        <v>0</v>
      </c>
      <c r="B136" s="1">
        <f>SUM(Portfolios!$B$2:$B$136)</f>
        <v>0</v>
      </c>
    </row>
    <row r="137" spans="1:2">
      <c r="A137" s="11">
        <f>Returns!A137</f>
        <v>0</v>
      </c>
      <c r="B137" s="1">
        <f>SUM(Portfolios!$B$2:$B$137)</f>
        <v>0</v>
      </c>
    </row>
    <row r="138" spans="1:2">
      <c r="A138" s="11">
        <f>Returns!A138</f>
        <v>0</v>
      </c>
      <c r="B138" s="1">
        <f>SUM(Portfolios!$B$2:$B$138)</f>
        <v>0</v>
      </c>
    </row>
    <row r="139" spans="1:2">
      <c r="A139" s="11">
        <f>Returns!A139</f>
        <v>0</v>
      </c>
      <c r="B139" s="1">
        <f>SUM(Portfolios!$B$2:$B$139)</f>
        <v>0</v>
      </c>
    </row>
    <row r="140" spans="1:2">
      <c r="A140" s="11">
        <f>Returns!A140</f>
        <v>0</v>
      </c>
      <c r="B140" s="1">
        <f>SUM(Portfolios!$B$2:$B$140)</f>
        <v>0</v>
      </c>
    </row>
    <row r="141" spans="1:2">
      <c r="A141" s="11">
        <f>Returns!A141</f>
        <v>0</v>
      </c>
      <c r="B141" s="1">
        <f>SUM(Portfolios!$B$2:$B$141)</f>
        <v>0</v>
      </c>
    </row>
    <row r="142" spans="1:2">
      <c r="A142" s="11">
        <f>Returns!A142</f>
        <v>0</v>
      </c>
      <c r="B142" s="1">
        <f>SUM(Portfolios!$B$2:$B$142)</f>
        <v>0</v>
      </c>
    </row>
    <row r="143" spans="1:2">
      <c r="A143" s="11">
        <f>Returns!A143</f>
        <v>0</v>
      </c>
      <c r="B143" s="1">
        <f>SUM(Portfolios!$B$2:$B$143)</f>
        <v>0</v>
      </c>
    </row>
    <row r="144" spans="1:2">
      <c r="A144" s="11">
        <f>Returns!A144</f>
        <v>0</v>
      </c>
      <c r="B144" s="1">
        <f>SUM(Portfolios!$B$2:$B$144)</f>
        <v>0</v>
      </c>
    </row>
    <row r="145" spans="1:2">
      <c r="A145" s="11">
        <f>Returns!A145</f>
        <v>0</v>
      </c>
      <c r="B145" s="1">
        <f>SUM(Portfolios!$B$2:$B$145)</f>
        <v>0</v>
      </c>
    </row>
    <row r="146" spans="1:2">
      <c r="A146" s="11">
        <f>Returns!A146</f>
        <v>0</v>
      </c>
      <c r="B146" s="1">
        <f>SUM(Portfolios!$B$2:$B$146)</f>
        <v>0</v>
      </c>
    </row>
    <row r="147" spans="1:2">
      <c r="A147" s="11">
        <f>Returns!A147</f>
        <v>0</v>
      </c>
      <c r="B147" s="1">
        <f>SUM(Portfolios!$B$2:$B$147)</f>
        <v>0</v>
      </c>
    </row>
    <row r="148" spans="1:2">
      <c r="A148" s="11">
        <f>Returns!A148</f>
        <v>0</v>
      </c>
      <c r="B148" s="1">
        <f>SUM(Portfolios!$B$2:$B$148)</f>
        <v>0</v>
      </c>
    </row>
    <row r="149" spans="1:2">
      <c r="A149" s="11">
        <f>Returns!A149</f>
        <v>0</v>
      </c>
      <c r="B149" s="1">
        <f>SUM(Portfolios!$B$2:$B$149)</f>
        <v>0</v>
      </c>
    </row>
    <row r="150" spans="1:2">
      <c r="A150" s="11">
        <f>Returns!A150</f>
        <v>0</v>
      </c>
      <c r="B150" s="1">
        <f>SUM(Portfolios!$B$2:$B$150)</f>
        <v>0</v>
      </c>
    </row>
    <row r="151" spans="1:2">
      <c r="A151" s="11">
        <f>Returns!A151</f>
        <v>0</v>
      </c>
      <c r="B151" s="1">
        <f>SUM(Portfolios!$B$2:$B$151)</f>
        <v>0</v>
      </c>
    </row>
    <row r="152" spans="1:2">
      <c r="A152" s="11">
        <f>Returns!A152</f>
        <v>0</v>
      </c>
      <c r="B152" s="1">
        <f>SUM(Portfolios!$B$2:$B$152)</f>
        <v>0</v>
      </c>
    </row>
    <row r="153" spans="1:2">
      <c r="A153" s="11">
        <f>Returns!A153</f>
        <v>0</v>
      </c>
      <c r="B153" s="1">
        <f>SUM(Portfolios!$B$2:$B$153)</f>
        <v>0</v>
      </c>
    </row>
    <row r="154" spans="1:2">
      <c r="A154" s="11">
        <f>Returns!A154</f>
        <v>0</v>
      </c>
      <c r="B154" s="1">
        <f>SUM(Portfolios!$B$2:$B$154)</f>
        <v>0</v>
      </c>
    </row>
    <row r="155" spans="1:2">
      <c r="A155" s="11">
        <f>Returns!A155</f>
        <v>0</v>
      </c>
      <c r="B155" s="1">
        <f>SUM(Portfolios!$B$2:$B$155)</f>
        <v>0</v>
      </c>
    </row>
    <row r="156" spans="1:2">
      <c r="A156" s="11">
        <f>Returns!A156</f>
        <v>0</v>
      </c>
      <c r="B156" s="1">
        <f>SUM(Portfolios!$B$2:$B$156)</f>
        <v>0</v>
      </c>
    </row>
    <row r="157" spans="1:2">
      <c r="A157" s="11">
        <f>Returns!A157</f>
        <v>0</v>
      </c>
      <c r="B157" s="1">
        <f>SUM(Portfolios!$B$2:$B$157)</f>
        <v>0</v>
      </c>
    </row>
    <row r="158" spans="1:2">
      <c r="A158" s="11">
        <f>Returns!A158</f>
        <v>0</v>
      </c>
      <c r="B158" s="1">
        <f>SUM(Portfolios!$B$2:$B$158)</f>
        <v>0</v>
      </c>
    </row>
    <row r="159" spans="1:2">
      <c r="A159" s="11">
        <f>Returns!A159</f>
        <v>0</v>
      </c>
      <c r="B159" s="1">
        <f>SUM(Portfolios!$B$2:$B$159)</f>
        <v>0</v>
      </c>
    </row>
    <row r="160" spans="1:2">
      <c r="A160" s="11">
        <f>Returns!A160</f>
        <v>0</v>
      </c>
      <c r="B160" s="1">
        <f>SUM(Portfolios!$B$2:$B$160)</f>
        <v>0</v>
      </c>
    </row>
    <row r="161" spans="1:2">
      <c r="A161" s="11">
        <f>Returns!A161</f>
        <v>0</v>
      </c>
      <c r="B161" s="1">
        <f>SUM(Portfolios!$B$2:$B$161)</f>
        <v>0</v>
      </c>
    </row>
    <row r="162" spans="1:2">
      <c r="A162" s="11">
        <f>Returns!A162</f>
        <v>0</v>
      </c>
      <c r="B162" s="1">
        <f>SUM(Portfolios!$B$2:$B$162)</f>
        <v>0</v>
      </c>
    </row>
    <row r="163" spans="1:2">
      <c r="A163" s="11">
        <f>Returns!A163</f>
        <v>0</v>
      </c>
      <c r="B163" s="1">
        <f>SUM(Portfolios!$B$2:$B$163)</f>
        <v>0</v>
      </c>
    </row>
    <row r="164" spans="1:2">
      <c r="A164" s="11">
        <f>Returns!A164</f>
        <v>0</v>
      </c>
      <c r="B164" s="1">
        <f>SUM(Portfolios!$B$2:$B$164)</f>
        <v>0</v>
      </c>
    </row>
    <row r="165" spans="1:2">
      <c r="A165" s="11">
        <f>Returns!A165</f>
        <v>0</v>
      </c>
      <c r="B165" s="1">
        <f>SUM(Portfolios!$B$2:$B$165)</f>
        <v>0</v>
      </c>
    </row>
    <row r="166" spans="1:2">
      <c r="A166" s="11">
        <f>Returns!A166</f>
        <v>0</v>
      </c>
      <c r="B166" s="1">
        <f>SUM(Portfolios!$B$2:$B$166)</f>
        <v>0</v>
      </c>
    </row>
    <row r="167" spans="1:2">
      <c r="A167" s="11">
        <f>Returns!A167</f>
        <v>0</v>
      </c>
      <c r="B167" s="1">
        <f>SUM(Portfolios!$B$2:$B$167)</f>
        <v>0</v>
      </c>
    </row>
    <row r="168" spans="1:2">
      <c r="A168" s="11">
        <f>Returns!A168</f>
        <v>0</v>
      </c>
      <c r="B168" s="1">
        <f>SUM(Portfolios!$B$2:$B$168)</f>
        <v>0</v>
      </c>
    </row>
    <row r="169" spans="1:2">
      <c r="A169" s="11">
        <f>Returns!A169</f>
        <v>0</v>
      </c>
      <c r="B169" s="1">
        <f>SUM(Portfolios!$B$2:$B$169)</f>
        <v>0</v>
      </c>
    </row>
    <row r="170" spans="1:2">
      <c r="A170" s="11">
        <f>Returns!A170</f>
        <v>0</v>
      </c>
      <c r="B170" s="1">
        <f>SUM(Portfolios!$B$2:$B$170)</f>
        <v>0</v>
      </c>
    </row>
    <row r="171" spans="1:2">
      <c r="A171" s="11">
        <f>Returns!A171</f>
        <v>0</v>
      </c>
      <c r="B171" s="1">
        <f>SUM(Portfolios!$B$2:$B$171)</f>
        <v>0</v>
      </c>
    </row>
    <row r="172" spans="1:2">
      <c r="A172" s="11">
        <f>Returns!A172</f>
        <v>0</v>
      </c>
      <c r="B172" s="1">
        <f>SUM(Portfolios!$B$2:$B$172)</f>
        <v>0</v>
      </c>
    </row>
    <row r="173" spans="1:2">
      <c r="A173" s="11">
        <f>Returns!A173</f>
        <v>0</v>
      </c>
      <c r="B173" s="1">
        <f>SUM(Portfolios!$B$2:$B$173)</f>
        <v>0</v>
      </c>
    </row>
    <row r="174" spans="1:2">
      <c r="A174" s="11">
        <f>Returns!A174</f>
        <v>0</v>
      </c>
      <c r="B174" s="1">
        <f>SUM(Portfolios!$B$2:$B$174)</f>
        <v>0</v>
      </c>
    </row>
    <row r="175" spans="1:2">
      <c r="A175" s="11">
        <f>Returns!A175</f>
        <v>0</v>
      </c>
      <c r="B175" s="1">
        <f>SUM(Portfolios!$B$2:$B$175)</f>
        <v>0</v>
      </c>
    </row>
    <row r="176" spans="1:2">
      <c r="A176" s="11">
        <f>Returns!A176</f>
        <v>0</v>
      </c>
      <c r="B176" s="1">
        <f>SUM(Portfolios!$B$2:$B$176)</f>
        <v>0</v>
      </c>
    </row>
    <row r="177" spans="1:2">
      <c r="A177" s="11">
        <f>Returns!A177</f>
        <v>0</v>
      </c>
      <c r="B177" s="1">
        <f>SUM(Portfolios!$B$2:$B$177)</f>
        <v>0</v>
      </c>
    </row>
    <row r="178" spans="1:2">
      <c r="A178" s="11">
        <f>Returns!A178</f>
        <v>0</v>
      </c>
      <c r="B178" s="1">
        <f>SUM(Portfolios!$B$2:$B$178)</f>
        <v>0</v>
      </c>
    </row>
    <row r="179" spans="1:2">
      <c r="A179" s="11">
        <f>Returns!A179</f>
        <v>0</v>
      </c>
      <c r="B179" s="1">
        <f>SUM(Portfolios!$B$2:$B$179)</f>
        <v>0</v>
      </c>
    </row>
    <row r="180" spans="1:2">
      <c r="A180" s="11">
        <f>Returns!A180</f>
        <v>0</v>
      </c>
      <c r="B180" s="1">
        <f>SUM(Portfolios!$B$2:$B$180)</f>
        <v>0</v>
      </c>
    </row>
    <row r="181" spans="1:2">
      <c r="A181" s="11">
        <f>Returns!A181</f>
        <v>0</v>
      </c>
      <c r="B181" s="1">
        <f>SUM(Portfolios!$B$2:$B$181)</f>
        <v>0</v>
      </c>
    </row>
    <row r="182" spans="1:2">
      <c r="A182" s="11">
        <f>Returns!A182</f>
        <v>0</v>
      </c>
      <c r="B182" s="1">
        <f>SUM(Portfolios!$B$2:$B$182)</f>
        <v>0</v>
      </c>
    </row>
    <row r="183" spans="1:2">
      <c r="A183" s="11">
        <f>Returns!A183</f>
        <v>0</v>
      </c>
      <c r="B183" s="1">
        <f>SUM(Portfolios!$B$2:$B$183)</f>
        <v>0</v>
      </c>
    </row>
    <row r="184" spans="1:2">
      <c r="A184" s="11">
        <f>Returns!A184</f>
        <v>0</v>
      </c>
      <c r="B184" s="1">
        <f>SUM(Portfolios!$B$2:$B$184)</f>
        <v>0</v>
      </c>
    </row>
    <row r="185" spans="1:2">
      <c r="A185" s="11">
        <f>Returns!A185</f>
        <v>0</v>
      </c>
      <c r="B185" s="1">
        <f>SUM(Portfolios!$B$2:$B$185)</f>
        <v>0</v>
      </c>
    </row>
    <row r="186" spans="1:2">
      <c r="A186" s="11">
        <f>Returns!A186</f>
        <v>0</v>
      </c>
      <c r="B186" s="1">
        <f>SUM(Portfolios!$B$2:$B$186)</f>
        <v>0</v>
      </c>
    </row>
    <row r="187" spans="1:2">
      <c r="A187" s="11">
        <f>Returns!A187</f>
        <v>0</v>
      </c>
      <c r="B187" s="1">
        <f>SUM(Portfolios!$B$2:$B$187)</f>
        <v>0</v>
      </c>
    </row>
    <row r="188" spans="1:2">
      <c r="A188" s="11">
        <f>Returns!A188</f>
        <v>0</v>
      </c>
      <c r="B188" s="1">
        <f>SUM(Portfolios!$B$2:$B$188)</f>
        <v>0</v>
      </c>
    </row>
    <row r="189" spans="1:2">
      <c r="A189" s="11">
        <f>Returns!A189</f>
        <v>0</v>
      </c>
      <c r="B189" s="1">
        <f>SUM(Portfolios!$B$2:$B$189)</f>
        <v>0</v>
      </c>
    </row>
    <row r="190" spans="1:2">
      <c r="A190" s="11">
        <f>Returns!A190</f>
        <v>0</v>
      </c>
      <c r="B190" s="1">
        <f>SUM(Portfolios!$B$2:$B$190)</f>
        <v>0</v>
      </c>
    </row>
    <row r="191" spans="1:2">
      <c r="A191" s="11">
        <f>Returns!A191</f>
        <v>0</v>
      </c>
      <c r="B191" s="1">
        <f>SUM(Portfolios!$B$2:$B$191)</f>
        <v>0</v>
      </c>
    </row>
    <row r="192" spans="1:2">
      <c r="A192" s="11">
        <f>Returns!A192</f>
        <v>0</v>
      </c>
      <c r="B192" s="1">
        <f>SUM(Portfolios!$B$2:$B$192)</f>
        <v>0</v>
      </c>
    </row>
    <row r="193" spans="1:2">
      <c r="A193" s="11">
        <f>Returns!A193</f>
        <v>0</v>
      </c>
      <c r="B193" s="1">
        <f>SUM(Portfolios!$B$2:$B$193)</f>
        <v>0</v>
      </c>
    </row>
    <row r="194" spans="1:2">
      <c r="A194" s="11">
        <f>Returns!A194</f>
        <v>0</v>
      </c>
      <c r="B194" s="1">
        <f>SUM(Portfolios!$B$2:$B$194)</f>
        <v>0</v>
      </c>
    </row>
    <row r="195" spans="1:2">
      <c r="A195" s="11">
        <f>Returns!A195</f>
        <v>0</v>
      </c>
      <c r="B195" s="1">
        <f>SUM(Portfolios!$B$2:$B$195)</f>
        <v>0</v>
      </c>
    </row>
    <row r="196" spans="1:2">
      <c r="A196" s="11">
        <f>Returns!A196</f>
        <v>0</v>
      </c>
      <c r="B196" s="1">
        <f>SUM(Portfolios!$B$2:$B$196)</f>
        <v>0</v>
      </c>
    </row>
    <row r="197" spans="1:2">
      <c r="A197" s="11">
        <f>Returns!A197</f>
        <v>0</v>
      </c>
      <c r="B197" s="1">
        <f>SUM(Portfolios!$B$2:$B$197)</f>
        <v>0</v>
      </c>
    </row>
    <row r="198" spans="1:2">
      <c r="A198" s="11">
        <f>Returns!A198</f>
        <v>0</v>
      </c>
      <c r="B198" s="1">
        <f>SUM(Portfolios!$B$2:$B$198)</f>
        <v>0</v>
      </c>
    </row>
    <row r="199" spans="1:2">
      <c r="A199" s="11">
        <f>Returns!A199</f>
        <v>0</v>
      </c>
      <c r="B199" s="1">
        <f>SUM(Portfolios!$B$2:$B$199)</f>
        <v>0</v>
      </c>
    </row>
    <row r="200" spans="1:2">
      <c r="A200" s="11">
        <f>Returns!A200</f>
        <v>0</v>
      </c>
      <c r="B200" s="1">
        <f>SUM(Portfolios!$B$2:$B$200)</f>
        <v>0</v>
      </c>
    </row>
    <row r="201" spans="1:2">
      <c r="A201" s="11">
        <f>Returns!A201</f>
        <v>0</v>
      </c>
      <c r="B201" s="1">
        <f>SUM(Portfolios!$B$2:$B$201)</f>
        <v>0</v>
      </c>
    </row>
    <row r="202" spans="1:2">
      <c r="A202" s="11">
        <f>Returns!A202</f>
        <v>0</v>
      </c>
      <c r="B202" s="1">
        <f>SUM(Portfolios!$B$2:$B$202)</f>
        <v>0</v>
      </c>
    </row>
    <row r="203" spans="1:2">
      <c r="A203" s="11">
        <f>Returns!A203</f>
        <v>0</v>
      </c>
      <c r="B203" s="1">
        <f>SUM(Portfolios!$B$2:$B$203)</f>
        <v>0</v>
      </c>
    </row>
    <row r="204" spans="1:2">
      <c r="A204" s="11">
        <f>Returns!A204</f>
        <v>0</v>
      </c>
      <c r="B204" s="1">
        <f>SUM(Portfolios!$B$2:$B$204)</f>
        <v>0</v>
      </c>
    </row>
    <row r="205" spans="1:2">
      <c r="A205" s="11">
        <f>Returns!A205</f>
        <v>0</v>
      </c>
      <c r="B205" s="1">
        <f>SUM(Portfolios!$B$2:$B$205)</f>
        <v>0</v>
      </c>
    </row>
    <row r="206" spans="1:2">
      <c r="A206" s="11">
        <f>Returns!A206</f>
        <v>0</v>
      </c>
      <c r="B206" s="1">
        <f>SUM(Portfolios!$B$2:$B$206)</f>
        <v>0</v>
      </c>
    </row>
    <row r="207" spans="1:2">
      <c r="A207" s="11">
        <f>Returns!A207</f>
        <v>0</v>
      </c>
      <c r="B207" s="1">
        <f>SUM(Portfolios!$B$2:$B$207)</f>
        <v>0</v>
      </c>
    </row>
    <row r="208" spans="1:2">
      <c r="A208" s="11">
        <f>Returns!A208</f>
        <v>0</v>
      </c>
      <c r="B208" s="1">
        <f>SUM(Portfolios!$B$2:$B$208)</f>
        <v>0</v>
      </c>
    </row>
    <row r="209" spans="1:2">
      <c r="A209" s="11">
        <f>Returns!A209</f>
        <v>0</v>
      </c>
      <c r="B209" s="1">
        <f>SUM(Portfolios!$B$2:$B$209)</f>
        <v>0</v>
      </c>
    </row>
    <row r="210" spans="1:2">
      <c r="A210" s="11">
        <f>Returns!A210</f>
        <v>0</v>
      </c>
      <c r="B210" s="1">
        <f>SUM(Portfolios!$B$2:$B$210)</f>
        <v>0</v>
      </c>
    </row>
    <row r="211" spans="1:2">
      <c r="A211" s="11">
        <f>Returns!A211</f>
        <v>0</v>
      </c>
      <c r="B211" s="1">
        <f>SUM(Portfolios!$B$2:$B$211)</f>
        <v>0</v>
      </c>
    </row>
    <row r="212" spans="1:2">
      <c r="A212" s="11">
        <f>Returns!A212</f>
        <v>0</v>
      </c>
      <c r="B212" s="1">
        <f>SUM(Portfolios!$B$2:$B$212)</f>
        <v>0</v>
      </c>
    </row>
    <row r="213" spans="1:2">
      <c r="A213" s="11">
        <f>Returns!A213</f>
        <v>0</v>
      </c>
      <c r="B213" s="1">
        <f>SUM(Portfolios!$B$2:$B$213)</f>
        <v>0</v>
      </c>
    </row>
    <row r="214" spans="1:2">
      <c r="A214" s="11">
        <f>Returns!A214</f>
        <v>0</v>
      </c>
      <c r="B214" s="1">
        <f>SUM(Portfolios!$B$2:$B$214)</f>
        <v>0</v>
      </c>
    </row>
    <row r="215" spans="1:2">
      <c r="A215" s="11">
        <f>Returns!A215</f>
        <v>0</v>
      </c>
      <c r="B215" s="1">
        <f>SUM(Portfolios!$B$2:$B$215)</f>
        <v>0</v>
      </c>
    </row>
    <row r="216" spans="1:2">
      <c r="A216" s="11">
        <f>Returns!A216</f>
        <v>0</v>
      </c>
      <c r="B216" s="1">
        <f>SUM(Portfolios!$B$2:$B$216)</f>
        <v>0</v>
      </c>
    </row>
    <row r="217" spans="1:2">
      <c r="A217" s="11">
        <f>Returns!A217</f>
        <v>0</v>
      </c>
      <c r="B217" s="1">
        <f>SUM(Portfolios!$B$2:$B$217)</f>
        <v>0</v>
      </c>
    </row>
    <row r="218" spans="1:2">
      <c r="A218" s="11">
        <f>Returns!A218</f>
        <v>0</v>
      </c>
      <c r="B218" s="1">
        <f>SUM(Portfolios!$B$2:$B$218)</f>
        <v>0</v>
      </c>
    </row>
    <row r="219" spans="1:2">
      <c r="A219" s="11">
        <f>Returns!A219</f>
        <v>0</v>
      </c>
      <c r="B219" s="1">
        <f>SUM(Portfolios!$B$2:$B$219)</f>
        <v>0</v>
      </c>
    </row>
    <row r="220" spans="1:2">
      <c r="A220" s="11">
        <f>Returns!A220</f>
        <v>0</v>
      </c>
      <c r="B220" s="1">
        <f>SUM(Portfolios!$B$2:$B$220)</f>
        <v>0</v>
      </c>
    </row>
    <row r="221" spans="1:2">
      <c r="A221" s="11">
        <f>Returns!A221</f>
        <v>0</v>
      </c>
      <c r="B221" s="1">
        <f>SUM(Portfolios!$B$2:$B$221)</f>
        <v>0</v>
      </c>
    </row>
    <row r="222" spans="1:2">
      <c r="A222" s="11">
        <f>Returns!A222</f>
        <v>0</v>
      </c>
      <c r="B222" s="1">
        <f>SUM(Portfolios!$B$2:$B$222)</f>
        <v>0</v>
      </c>
    </row>
    <row r="223" spans="1:2">
      <c r="A223" s="11">
        <f>Returns!A223</f>
        <v>0</v>
      </c>
      <c r="B223" s="1">
        <f>SUM(Portfolios!$B$2:$B$223)</f>
        <v>0</v>
      </c>
    </row>
    <row r="224" spans="1:2">
      <c r="A224" s="11">
        <f>Returns!A224</f>
        <v>0</v>
      </c>
      <c r="B224" s="1">
        <f>SUM(Portfolios!$B$2:$B$224)</f>
        <v>0</v>
      </c>
    </row>
    <row r="225" spans="1:2">
      <c r="A225" s="11">
        <f>Returns!A225</f>
        <v>0</v>
      </c>
      <c r="B225" s="1">
        <f>SUM(Portfolios!$B$2:$B$225)</f>
        <v>0</v>
      </c>
    </row>
    <row r="226" spans="1:2">
      <c r="A226" s="11">
        <f>Returns!A226</f>
        <v>0</v>
      </c>
      <c r="B226" s="1">
        <f>SUM(Portfolios!$B$2:$B$226)</f>
        <v>0</v>
      </c>
    </row>
    <row r="227" spans="1:2">
      <c r="A227" s="11">
        <f>Returns!A227</f>
        <v>0</v>
      </c>
      <c r="B227" s="1">
        <f>SUM(Portfolios!$B$2:$B$227)</f>
        <v>0</v>
      </c>
    </row>
    <row r="228" spans="1:2">
      <c r="A228" s="11">
        <f>Returns!A228</f>
        <v>0</v>
      </c>
      <c r="B228" s="1">
        <f>SUM(Portfolios!$B$2:$B$228)</f>
        <v>0</v>
      </c>
    </row>
    <row r="229" spans="1:2">
      <c r="A229" s="11">
        <f>Returns!A229</f>
        <v>0</v>
      </c>
      <c r="B229" s="1">
        <f>SUM(Portfolios!$B$2:$B$229)</f>
        <v>0</v>
      </c>
    </row>
    <row r="230" spans="1:2">
      <c r="A230" s="11">
        <f>Returns!A230</f>
        <v>0</v>
      </c>
      <c r="B230" s="1">
        <f>SUM(Portfolios!$B$2:$B$230)</f>
        <v>0</v>
      </c>
    </row>
    <row r="231" spans="1:2">
      <c r="A231" s="11">
        <f>Returns!A231</f>
        <v>0</v>
      </c>
      <c r="B231" s="1">
        <f>SUM(Portfolios!$B$2:$B$231)</f>
        <v>0</v>
      </c>
    </row>
    <row r="232" spans="1:2">
      <c r="A232" s="11">
        <f>Returns!A232</f>
        <v>0</v>
      </c>
      <c r="B232" s="1">
        <f>SUM(Portfolios!$B$2:$B$232)</f>
        <v>0</v>
      </c>
    </row>
    <row r="233" spans="1:2">
      <c r="A233" s="11">
        <f>Returns!A233</f>
        <v>0</v>
      </c>
      <c r="B233" s="1">
        <f>SUM(Portfolios!$B$2:$B$233)</f>
        <v>0</v>
      </c>
    </row>
    <row r="234" spans="1:2">
      <c r="A234" s="11">
        <f>Returns!A234</f>
        <v>0</v>
      </c>
      <c r="B234" s="1">
        <f>SUM(Portfolios!$B$2:$B$234)</f>
        <v>0</v>
      </c>
    </row>
    <row r="235" spans="1:2">
      <c r="A235" s="11">
        <f>Returns!A235</f>
        <v>0</v>
      </c>
      <c r="B235" s="1">
        <f>SUM(Portfolios!$B$2:$B$235)</f>
        <v>0</v>
      </c>
    </row>
    <row r="236" spans="1:2">
      <c r="A236" s="11">
        <f>Returns!A236</f>
        <v>0</v>
      </c>
      <c r="B236" s="1">
        <f>SUM(Portfolios!$B$2:$B$236)</f>
        <v>0</v>
      </c>
    </row>
    <row r="237" spans="1:2">
      <c r="A237" s="11">
        <f>Returns!A237</f>
        <v>0</v>
      </c>
      <c r="B237" s="1">
        <f>SUM(Portfolios!$B$2:$B$237)</f>
        <v>0</v>
      </c>
    </row>
    <row r="238" spans="1:2">
      <c r="A238" s="11">
        <f>Returns!A238</f>
        <v>0</v>
      </c>
      <c r="B238" s="1">
        <f>SUM(Portfolios!$B$2:$B$238)</f>
        <v>0</v>
      </c>
    </row>
    <row r="239" spans="1:2">
      <c r="A239" s="11">
        <f>Returns!A239</f>
        <v>0</v>
      </c>
      <c r="B239" s="1">
        <f>SUM(Portfolios!$B$2:$B$239)</f>
        <v>0</v>
      </c>
    </row>
    <row r="240" spans="1:2">
      <c r="A240" s="11">
        <f>Returns!A240</f>
        <v>0</v>
      </c>
      <c r="B240" s="1">
        <f>SUM(Portfolios!$B$2:$B$240)</f>
        <v>0</v>
      </c>
    </row>
    <row r="241" spans="1:2">
      <c r="A241" s="11">
        <f>Returns!A241</f>
        <v>0</v>
      </c>
      <c r="B241" s="1">
        <f>SUM(Portfolios!$B$2:$B$241)</f>
        <v>0</v>
      </c>
    </row>
    <row r="242" spans="1:2">
      <c r="A242" s="11">
        <f>Returns!A242</f>
        <v>0</v>
      </c>
      <c r="B242" s="1">
        <f>SUM(Portfolios!$B$2:$B$242)</f>
        <v>0</v>
      </c>
    </row>
    <row r="243" spans="1:2">
      <c r="A243" s="11">
        <f>Returns!A243</f>
        <v>0</v>
      </c>
      <c r="B243" s="1">
        <f>SUM(Portfolios!$B$2:$B$243)</f>
        <v>0</v>
      </c>
    </row>
    <row r="244" spans="1:2">
      <c r="A244" s="11">
        <f>Returns!A244</f>
        <v>0</v>
      </c>
      <c r="B244" s="1">
        <f>SUM(Portfolios!$B$2:$B$244)</f>
        <v>0</v>
      </c>
    </row>
    <row r="245" spans="1:2">
      <c r="A245" s="11">
        <f>Returns!A245</f>
        <v>0</v>
      </c>
      <c r="B245" s="1">
        <f>SUM(Portfolios!$B$2:$B$245)</f>
        <v>0</v>
      </c>
    </row>
    <row r="246" spans="1:2">
      <c r="A246" s="11">
        <f>Returns!A246</f>
        <v>0</v>
      </c>
      <c r="B246" s="1">
        <f>SUM(Portfolios!$B$2:$B$246)</f>
        <v>0</v>
      </c>
    </row>
    <row r="247" spans="1:2">
      <c r="A247" s="11">
        <f>Returns!A247</f>
        <v>0</v>
      </c>
      <c r="B247" s="1">
        <f>SUM(Portfolios!$B$2:$B$247)</f>
        <v>0</v>
      </c>
    </row>
    <row r="248" spans="1:2">
      <c r="A248" s="11">
        <f>Returns!A248</f>
        <v>0</v>
      </c>
      <c r="B248" s="1">
        <f>SUM(Portfolios!$B$2:$B$248)</f>
        <v>0</v>
      </c>
    </row>
    <row r="249" spans="1:2">
      <c r="A249" s="11">
        <f>Returns!A249</f>
        <v>0</v>
      </c>
      <c r="B249" s="1">
        <f>SUM(Portfolios!$B$2:$B$249)</f>
        <v>0</v>
      </c>
    </row>
    <row r="250" spans="1:2">
      <c r="A250" s="11">
        <f>Returns!A250</f>
        <v>0</v>
      </c>
      <c r="B250" s="1">
        <f>SUM(Portfolios!$B$2:$B$250)</f>
        <v>0</v>
      </c>
    </row>
    <row r="251" spans="1:2">
      <c r="A251" s="11">
        <f>Returns!A251</f>
        <v>0</v>
      </c>
      <c r="B251" s="1">
        <f>SUM(Portfolios!$B$2:$B$251)</f>
        <v>0</v>
      </c>
    </row>
    <row r="252" spans="1:2">
      <c r="A252" s="11">
        <f>Returns!A252</f>
        <v>0</v>
      </c>
      <c r="B252" s="1">
        <f>SUM(Portfolios!$B$2:$B$252)</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MAX(CumRet!$B$2)-CumRet!B2</f>
        <v>0</v>
      </c>
    </row>
    <row r="3" spans="1:2">
      <c r="A3" s="11">
        <f>Returns!A3</f>
        <v>0</v>
      </c>
      <c r="B3" s="1">
        <f>MAX(CumRet!$B$2:$B$3)-CumRet!B3</f>
        <v>0</v>
      </c>
    </row>
    <row r="4" spans="1:2">
      <c r="A4" s="11">
        <f>Returns!A4</f>
        <v>0</v>
      </c>
      <c r="B4" s="1">
        <f>MAX(CumRet!$B$2:$B$4)-CumRet!B4</f>
        <v>0</v>
      </c>
    </row>
    <row r="5" spans="1:2">
      <c r="A5" s="11">
        <f>Returns!A5</f>
        <v>0</v>
      </c>
      <c r="B5" s="1">
        <f>MAX(CumRet!$B$2:$B$5)-CumRet!B5</f>
        <v>0</v>
      </c>
    </row>
    <row r="6" spans="1:2">
      <c r="A6" s="11">
        <f>Returns!A6</f>
        <v>0</v>
      </c>
      <c r="B6" s="1">
        <f>MAX(CumRet!$B$2:$B$6)-CumRet!B6</f>
        <v>0</v>
      </c>
    </row>
    <row r="7" spans="1:2">
      <c r="A7" s="11">
        <f>Returns!A7</f>
        <v>0</v>
      </c>
      <c r="B7" s="1">
        <f>MAX(CumRet!$B$2:$B$7)-CumRet!B7</f>
        <v>0</v>
      </c>
    </row>
    <row r="8" spans="1:2">
      <c r="A8" s="11">
        <f>Returns!A8</f>
        <v>0</v>
      </c>
      <c r="B8" s="1">
        <f>MAX(CumRet!$B$2:$B$8)-CumRet!B8</f>
        <v>0</v>
      </c>
    </row>
    <row r="9" spans="1:2">
      <c r="A9" s="11">
        <f>Returns!A9</f>
        <v>0</v>
      </c>
      <c r="B9" s="1">
        <f>MAX(CumRet!$B$2:$B$9)-CumRet!B9</f>
        <v>0</v>
      </c>
    </row>
    <row r="10" spans="1:2">
      <c r="A10" s="11">
        <f>Returns!A10</f>
        <v>0</v>
      </c>
      <c r="B10" s="1">
        <f>MAX(CumRet!$B$2:$B$10)-CumRet!B10</f>
        <v>0</v>
      </c>
    </row>
    <row r="11" spans="1:2">
      <c r="A11" s="11">
        <f>Returns!A11</f>
        <v>0</v>
      </c>
      <c r="B11" s="1">
        <f>MAX(CumRet!$B$2:$B$11)-CumRet!B11</f>
        <v>0</v>
      </c>
    </row>
    <row r="12" spans="1:2">
      <c r="A12" s="11">
        <f>Returns!A12</f>
        <v>0</v>
      </c>
      <c r="B12" s="1">
        <f>MAX(CumRet!$B$2:$B$12)-CumRet!B12</f>
        <v>0</v>
      </c>
    </row>
    <row r="13" spans="1:2">
      <c r="A13" s="11">
        <f>Returns!A13</f>
        <v>0</v>
      </c>
      <c r="B13" s="1">
        <f>MAX(CumRet!$B$2:$B$13)-CumRet!B13</f>
        <v>0</v>
      </c>
    </row>
    <row r="14" spans="1:2">
      <c r="A14" s="11">
        <f>Returns!A14</f>
        <v>0</v>
      </c>
      <c r="B14" s="1">
        <f>MAX(CumRet!$B$2:$B$14)-CumRet!B14</f>
        <v>0</v>
      </c>
    </row>
    <row r="15" spans="1:2">
      <c r="A15" s="11">
        <f>Returns!A15</f>
        <v>0</v>
      </c>
      <c r="B15" s="1">
        <f>MAX(CumRet!$B$2:$B$15)-CumRet!B15</f>
        <v>0</v>
      </c>
    </row>
    <row r="16" spans="1:2">
      <c r="A16" s="11">
        <f>Returns!A16</f>
        <v>0</v>
      </c>
      <c r="B16" s="1">
        <f>MAX(CumRet!$B$2:$B$16)-CumRet!B16</f>
        <v>0</v>
      </c>
    </row>
    <row r="17" spans="1:2">
      <c r="A17" s="11">
        <f>Returns!A17</f>
        <v>0</v>
      </c>
      <c r="B17" s="1">
        <f>MAX(CumRet!$B$2:$B$17)-CumRet!B17</f>
        <v>0</v>
      </c>
    </row>
    <row r="18" spans="1:2">
      <c r="A18" s="11">
        <f>Returns!A18</f>
        <v>0</v>
      </c>
      <c r="B18" s="1">
        <f>MAX(CumRet!$B$2:$B$18)-CumRet!B18</f>
        <v>0</v>
      </c>
    </row>
    <row r="19" spans="1:2">
      <c r="A19" s="11">
        <f>Returns!A19</f>
        <v>0</v>
      </c>
      <c r="B19" s="1">
        <f>MAX(CumRet!$B$2:$B$19)-CumRet!B19</f>
        <v>0</v>
      </c>
    </row>
    <row r="20" spans="1:2">
      <c r="A20" s="11">
        <f>Returns!A20</f>
        <v>0</v>
      </c>
      <c r="B20" s="1">
        <f>MAX(CumRet!$B$2:$B$20)-CumRet!B20</f>
        <v>0</v>
      </c>
    </row>
    <row r="21" spans="1:2">
      <c r="A21" s="11">
        <f>Returns!A21</f>
        <v>0</v>
      </c>
      <c r="B21" s="1">
        <f>MAX(CumRet!$B$2:$B$21)-CumRet!B21</f>
        <v>0</v>
      </c>
    </row>
    <row r="22" spans="1:2">
      <c r="A22" s="11">
        <f>Returns!A22</f>
        <v>0</v>
      </c>
      <c r="B22" s="1">
        <f>MAX(CumRet!$B$2:$B$22)-CumRet!B22</f>
        <v>0</v>
      </c>
    </row>
    <row r="23" spans="1:2">
      <c r="A23" s="11">
        <f>Returns!A23</f>
        <v>0</v>
      </c>
      <c r="B23" s="1">
        <f>MAX(CumRet!$B$2:$B$23)-CumRet!B23</f>
        <v>0</v>
      </c>
    </row>
    <row r="24" spans="1:2">
      <c r="A24" s="11">
        <f>Returns!A24</f>
        <v>0</v>
      </c>
      <c r="B24" s="1">
        <f>MAX(CumRet!$B$2:$B$24)-CumRet!B24</f>
        <v>0</v>
      </c>
    </row>
    <row r="25" spans="1:2">
      <c r="A25" s="11">
        <f>Returns!A25</f>
        <v>0</v>
      </c>
      <c r="B25" s="1">
        <f>MAX(CumRet!$B$2:$B$25)-CumRet!B25</f>
        <v>0</v>
      </c>
    </row>
    <row r="26" spans="1:2">
      <c r="A26" s="11">
        <f>Returns!A26</f>
        <v>0</v>
      </c>
      <c r="B26" s="1">
        <f>MAX(CumRet!$B$2:$B$26)-CumRet!B26</f>
        <v>0</v>
      </c>
    </row>
    <row r="27" spans="1:2">
      <c r="A27" s="11">
        <f>Returns!A27</f>
        <v>0</v>
      </c>
      <c r="B27" s="1">
        <f>MAX(CumRet!$B$2:$B$27)-CumRet!B27</f>
        <v>0</v>
      </c>
    </row>
    <row r="28" spans="1:2">
      <c r="A28" s="11">
        <f>Returns!A28</f>
        <v>0</v>
      </c>
      <c r="B28" s="1">
        <f>MAX(CumRet!$B$2:$B$28)-CumRet!B28</f>
        <v>0</v>
      </c>
    </row>
    <row r="29" spans="1:2">
      <c r="A29" s="11">
        <f>Returns!A29</f>
        <v>0</v>
      </c>
      <c r="B29" s="1">
        <f>MAX(CumRet!$B$2:$B$29)-CumRet!B29</f>
        <v>0</v>
      </c>
    </row>
    <row r="30" spans="1:2">
      <c r="A30" s="11">
        <f>Returns!A30</f>
        <v>0</v>
      </c>
      <c r="B30" s="1">
        <f>MAX(CumRet!$B$2:$B$30)-CumRet!B30</f>
        <v>0</v>
      </c>
    </row>
    <row r="31" spans="1:2">
      <c r="A31" s="11">
        <f>Returns!A31</f>
        <v>0</v>
      </c>
      <c r="B31" s="1">
        <f>MAX(CumRet!$B$2:$B$31)-CumRet!B31</f>
        <v>0</v>
      </c>
    </row>
    <row r="32" spans="1:2">
      <c r="A32" s="11">
        <f>Returns!A32</f>
        <v>0</v>
      </c>
      <c r="B32" s="1">
        <f>MAX(CumRet!$B$2:$B$32)-CumRet!B32</f>
        <v>0</v>
      </c>
    </row>
    <row r="33" spans="1:2">
      <c r="A33" s="11">
        <f>Returns!A33</f>
        <v>0</v>
      </c>
      <c r="B33" s="1">
        <f>MAX(CumRet!$B$2:$B$33)-CumRet!B33</f>
        <v>0</v>
      </c>
    </row>
    <row r="34" spans="1:2">
      <c r="A34" s="11">
        <f>Returns!A34</f>
        <v>0</v>
      </c>
      <c r="B34" s="1">
        <f>MAX(CumRet!$B$2:$B$34)-CumRet!B34</f>
        <v>0</v>
      </c>
    </row>
    <row r="35" spans="1:2">
      <c r="A35" s="11">
        <f>Returns!A35</f>
        <v>0</v>
      </c>
      <c r="B35" s="1">
        <f>MAX(CumRet!$B$2:$B$35)-CumRet!B35</f>
        <v>0</v>
      </c>
    </row>
    <row r="36" spans="1:2">
      <c r="A36" s="11">
        <f>Returns!A36</f>
        <v>0</v>
      </c>
      <c r="B36" s="1">
        <f>MAX(CumRet!$B$2:$B$36)-CumRet!B36</f>
        <v>0</v>
      </c>
    </row>
    <row r="37" spans="1:2">
      <c r="A37" s="11">
        <f>Returns!A37</f>
        <v>0</v>
      </c>
      <c r="B37" s="1">
        <f>MAX(CumRet!$B$2:$B$37)-CumRet!B37</f>
        <v>0</v>
      </c>
    </row>
    <row r="38" spans="1:2">
      <c r="A38" s="11">
        <f>Returns!A38</f>
        <v>0</v>
      </c>
      <c r="B38" s="1">
        <f>MAX(CumRet!$B$2:$B$38)-CumRet!B38</f>
        <v>0</v>
      </c>
    </row>
    <row r="39" spans="1:2">
      <c r="A39" s="11">
        <f>Returns!A39</f>
        <v>0</v>
      </c>
      <c r="B39" s="1">
        <f>MAX(CumRet!$B$2:$B$39)-CumRet!B39</f>
        <v>0</v>
      </c>
    </row>
    <row r="40" spans="1:2">
      <c r="A40" s="11">
        <f>Returns!A40</f>
        <v>0</v>
      </c>
      <c r="B40" s="1">
        <f>MAX(CumRet!$B$2:$B$40)-CumRet!B40</f>
        <v>0</v>
      </c>
    </row>
    <row r="41" spans="1:2">
      <c r="A41" s="11">
        <f>Returns!A41</f>
        <v>0</v>
      </c>
      <c r="B41" s="1">
        <f>MAX(CumRet!$B$2:$B$41)-CumRet!B41</f>
        <v>0</v>
      </c>
    </row>
    <row r="42" spans="1:2">
      <c r="A42" s="11">
        <f>Returns!A42</f>
        <v>0</v>
      </c>
      <c r="B42" s="1">
        <f>MAX(CumRet!$B$2:$B$42)-CumRet!B42</f>
        <v>0</v>
      </c>
    </row>
    <row r="43" spans="1:2">
      <c r="A43" s="11">
        <f>Returns!A43</f>
        <v>0</v>
      </c>
      <c r="B43" s="1">
        <f>MAX(CumRet!$B$2:$B$43)-CumRet!B43</f>
        <v>0</v>
      </c>
    </row>
    <row r="44" spans="1:2">
      <c r="A44" s="11">
        <f>Returns!A44</f>
        <v>0</v>
      </c>
      <c r="B44" s="1">
        <f>MAX(CumRet!$B$2:$B$44)-CumRet!B44</f>
        <v>0</v>
      </c>
    </row>
    <row r="45" spans="1:2">
      <c r="A45" s="11">
        <f>Returns!A45</f>
        <v>0</v>
      </c>
      <c r="B45" s="1">
        <f>MAX(CumRet!$B$2:$B$45)-CumRet!B45</f>
        <v>0</v>
      </c>
    </row>
    <row r="46" spans="1:2">
      <c r="A46" s="11">
        <f>Returns!A46</f>
        <v>0</v>
      </c>
      <c r="B46" s="1">
        <f>MAX(CumRet!$B$2:$B$46)-CumRet!B46</f>
        <v>0</v>
      </c>
    </row>
    <row r="47" spans="1:2">
      <c r="A47" s="11">
        <f>Returns!A47</f>
        <v>0</v>
      </c>
      <c r="B47" s="1">
        <f>MAX(CumRet!$B$2:$B$47)-CumRet!B47</f>
        <v>0</v>
      </c>
    </row>
    <row r="48" spans="1:2">
      <c r="A48" s="11">
        <f>Returns!A48</f>
        <v>0</v>
      </c>
      <c r="B48" s="1">
        <f>MAX(CumRet!$B$2:$B$48)-CumRet!B48</f>
        <v>0</v>
      </c>
    </row>
    <row r="49" spans="1:2">
      <c r="A49" s="11">
        <f>Returns!A49</f>
        <v>0</v>
      </c>
      <c r="B49" s="1">
        <f>MAX(CumRet!$B$2:$B$49)-CumRet!B49</f>
        <v>0</v>
      </c>
    </row>
    <row r="50" spans="1:2">
      <c r="A50" s="11">
        <f>Returns!A50</f>
        <v>0</v>
      </c>
      <c r="B50" s="1">
        <f>MAX(CumRet!$B$2:$B$50)-CumRet!B50</f>
        <v>0</v>
      </c>
    </row>
    <row r="51" spans="1:2">
      <c r="A51" s="11">
        <f>Returns!A51</f>
        <v>0</v>
      </c>
      <c r="B51" s="1">
        <f>MAX(CumRet!$B$2:$B$51)-CumRet!B51</f>
        <v>0</v>
      </c>
    </row>
    <row r="52" spans="1:2">
      <c r="A52" s="11">
        <f>Returns!A52</f>
        <v>0</v>
      </c>
      <c r="B52" s="1">
        <f>MAX(CumRet!$B$2:$B$52)-CumRet!B52</f>
        <v>0</v>
      </c>
    </row>
    <row r="53" spans="1:2">
      <c r="A53" s="11">
        <f>Returns!A53</f>
        <v>0</v>
      </c>
      <c r="B53" s="1">
        <f>MAX(CumRet!$B$2:$B$53)-CumRet!B53</f>
        <v>0</v>
      </c>
    </row>
    <row r="54" spans="1:2">
      <c r="A54" s="11">
        <f>Returns!A54</f>
        <v>0</v>
      </c>
      <c r="B54" s="1">
        <f>MAX(CumRet!$B$2:$B$54)-CumRet!B54</f>
        <v>0</v>
      </c>
    </row>
    <row r="55" spans="1:2">
      <c r="A55" s="11">
        <f>Returns!A55</f>
        <v>0</v>
      </c>
      <c r="B55" s="1">
        <f>MAX(CumRet!$B$2:$B$55)-CumRet!B55</f>
        <v>0</v>
      </c>
    </row>
    <row r="56" spans="1:2">
      <c r="A56" s="11">
        <f>Returns!A56</f>
        <v>0</v>
      </c>
      <c r="B56" s="1">
        <f>MAX(CumRet!$B$2:$B$56)-CumRet!B56</f>
        <v>0</v>
      </c>
    </row>
    <row r="57" spans="1:2">
      <c r="A57" s="11">
        <f>Returns!A57</f>
        <v>0</v>
      </c>
      <c r="B57" s="1">
        <f>MAX(CumRet!$B$2:$B$57)-CumRet!B57</f>
        <v>0</v>
      </c>
    </row>
    <row r="58" spans="1:2">
      <c r="A58" s="11">
        <f>Returns!A58</f>
        <v>0</v>
      </c>
      <c r="B58" s="1">
        <f>MAX(CumRet!$B$2:$B$58)-CumRet!B58</f>
        <v>0</v>
      </c>
    </row>
    <row r="59" spans="1:2">
      <c r="A59" s="11">
        <f>Returns!A59</f>
        <v>0</v>
      </c>
      <c r="B59" s="1">
        <f>MAX(CumRet!$B$2:$B$59)-CumRet!B59</f>
        <v>0</v>
      </c>
    </row>
    <row r="60" spans="1:2">
      <c r="A60" s="11">
        <f>Returns!A60</f>
        <v>0</v>
      </c>
      <c r="B60" s="1">
        <f>MAX(CumRet!$B$2:$B$60)-CumRet!B60</f>
        <v>0</v>
      </c>
    </row>
    <row r="61" spans="1:2">
      <c r="A61" s="11">
        <f>Returns!A61</f>
        <v>0</v>
      </c>
      <c r="B61" s="1">
        <f>MAX(CumRet!$B$2:$B$61)-CumRet!B61</f>
        <v>0</v>
      </c>
    </row>
    <row r="62" spans="1:2">
      <c r="A62" s="11">
        <f>Returns!A62</f>
        <v>0</v>
      </c>
      <c r="B62" s="1">
        <f>MAX(CumRet!$B$2:$B$62)-CumRet!B62</f>
        <v>0</v>
      </c>
    </row>
    <row r="63" spans="1:2">
      <c r="A63" s="11">
        <f>Returns!A63</f>
        <v>0</v>
      </c>
      <c r="B63" s="1">
        <f>MAX(CumRet!$B$2:$B$63)-CumRet!B63</f>
        <v>0</v>
      </c>
    </row>
    <row r="64" spans="1:2">
      <c r="A64" s="11">
        <f>Returns!A64</f>
        <v>0</v>
      </c>
      <c r="B64" s="1">
        <f>MAX(CumRet!$B$2:$B$64)-CumRet!B64</f>
        <v>0</v>
      </c>
    </row>
    <row r="65" spans="1:2">
      <c r="A65" s="11">
        <f>Returns!A65</f>
        <v>0</v>
      </c>
      <c r="B65" s="1">
        <f>MAX(CumRet!$B$2:$B$65)-CumRet!B65</f>
        <v>0</v>
      </c>
    </row>
    <row r="66" spans="1:2">
      <c r="A66" s="11">
        <f>Returns!A66</f>
        <v>0</v>
      </c>
      <c r="B66" s="1">
        <f>MAX(CumRet!$B$2:$B$66)-CumRet!B66</f>
        <v>0</v>
      </c>
    </row>
    <row r="67" spans="1:2">
      <c r="A67" s="11">
        <f>Returns!A67</f>
        <v>0</v>
      </c>
      <c r="B67" s="1">
        <f>MAX(CumRet!$B$2:$B$67)-CumRet!B67</f>
        <v>0</v>
      </c>
    </row>
    <row r="68" spans="1:2">
      <c r="A68" s="11">
        <f>Returns!A68</f>
        <v>0</v>
      </c>
      <c r="B68" s="1">
        <f>MAX(CumRet!$B$2:$B$68)-CumRet!B68</f>
        <v>0</v>
      </c>
    </row>
    <row r="69" spans="1:2">
      <c r="A69" s="11">
        <f>Returns!A69</f>
        <v>0</v>
      </c>
      <c r="B69" s="1">
        <f>MAX(CumRet!$B$2:$B$69)-CumRet!B69</f>
        <v>0</v>
      </c>
    </row>
    <row r="70" spans="1:2">
      <c r="A70" s="11">
        <f>Returns!A70</f>
        <v>0</v>
      </c>
      <c r="B70" s="1">
        <f>MAX(CumRet!$B$2:$B$70)-CumRet!B70</f>
        <v>0</v>
      </c>
    </row>
    <row r="71" spans="1:2">
      <c r="A71" s="11">
        <f>Returns!A71</f>
        <v>0</v>
      </c>
      <c r="B71" s="1">
        <f>MAX(CumRet!$B$2:$B$71)-CumRet!B71</f>
        <v>0</v>
      </c>
    </row>
    <row r="72" spans="1:2">
      <c r="A72" s="11">
        <f>Returns!A72</f>
        <v>0</v>
      </c>
      <c r="B72" s="1">
        <f>MAX(CumRet!$B$2:$B$72)-CumRet!B72</f>
        <v>0</v>
      </c>
    </row>
    <row r="73" spans="1:2">
      <c r="A73" s="11">
        <f>Returns!A73</f>
        <v>0</v>
      </c>
      <c r="B73" s="1">
        <f>MAX(CumRet!$B$2:$B$73)-CumRet!B73</f>
        <v>0</v>
      </c>
    </row>
    <row r="74" spans="1:2">
      <c r="A74" s="11">
        <f>Returns!A74</f>
        <v>0</v>
      </c>
      <c r="B74" s="1">
        <f>MAX(CumRet!$B$2:$B$74)-CumRet!B74</f>
        <v>0</v>
      </c>
    </row>
    <row r="75" spans="1:2">
      <c r="A75" s="11">
        <f>Returns!A75</f>
        <v>0</v>
      </c>
      <c r="B75" s="1">
        <f>MAX(CumRet!$B$2:$B$75)-CumRet!B75</f>
        <v>0</v>
      </c>
    </row>
    <row r="76" spans="1:2">
      <c r="A76" s="11">
        <f>Returns!A76</f>
        <v>0</v>
      </c>
      <c r="B76" s="1">
        <f>MAX(CumRet!$B$2:$B$76)-CumRet!B76</f>
        <v>0</v>
      </c>
    </row>
    <row r="77" spans="1:2">
      <c r="A77" s="11">
        <f>Returns!A77</f>
        <v>0</v>
      </c>
      <c r="B77" s="1">
        <f>MAX(CumRet!$B$2:$B$77)-CumRet!B77</f>
        <v>0</v>
      </c>
    </row>
    <row r="78" spans="1:2">
      <c r="A78" s="11">
        <f>Returns!A78</f>
        <v>0</v>
      </c>
      <c r="B78" s="1">
        <f>MAX(CumRet!$B$2:$B$78)-CumRet!B78</f>
        <v>0</v>
      </c>
    </row>
    <row r="79" spans="1:2">
      <c r="A79" s="11">
        <f>Returns!A79</f>
        <v>0</v>
      </c>
      <c r="B79" s="1">
        <f>MAX(CumRet!$B$2:$B$79)-CumRet!B79</f>
        <v>0</v>
      </c>
    </row>
    <row r="80" spans="1:2">
      <c r="A80" s="11">
        <f>Returns!A80</f>
        <v>0</v>
      </c>
      <c r="B80" s="1">
        <f>MAX(CumRet!$B$2:$B$80)-CumRet!B80</f>
        <v>0</v>
      </c>
    </row>
    <row r="81" spans="1:2">
      <c r="A81" s="11">
        <f>Returns!A81</f>
        <v>0</v>
      </c>
      <c r="B81" s="1">
        <f>MAX(CumRet!$B$2:$B$81)-CumRet!B81</f>
        <v>0</v>
      </c>
    </row>
    <row r="82" spans="1:2">
      <c r="A82" s="11">
        <f>Returns!A82</f>
        <v>0</v>
      </c>
      <c r="B82" s="1">
        <f>MAX(CumRet!$B$2:$B$82)-CumRet!B82</f>
        <v>0</v>
      </c>
    </row>
    <row r="83" spans="1:2">
      <c r="A83" s="11">
        <f>Returns!A83</f>
        <v>0</v>
      </c>
      <c r="B83" s="1">
        <f>MAX(CumRet!$B$2:$B$83)-CumRet!B83</f>
        <v>0</v>
      </c>
    </row>
    <row r="84" spans="1:2">
      <c r="A84" s="11">
        <f>Returns!A84</f>
        <v>0</v>
      </c>
      <c r="B84" s="1">
        <f>MAX(CumRet!$B$2:$B$84)-CumRet!B84</f>
        <v>0</v>
      </c>
    </row>
    <row r="85" spans="1:2">
      <c r="A85" s="11">
        <f>Returns!A85</f>
        <v>0</v>
      </c>
      <c r="B85" s="1">
        <f>MAX(CumRet!$B$2:$B$85)-CumRet!B85</f>
        <v>0</v>
      </c>
    </row>
    <row r="86" spans="1:2">
      <c r="A86" s="11">
        <f>Returns!A86</f>
        <v>0</v>
      </c>
      <c r="B86" s="1">
        <f>MAX(CumRet!$B$2:$B$86)-CumRet!B86</f>
        <v>0</v>
      </c>
    </row>
    <row r="87" spans="1:2">
      <c r="A87" s="11">
        <f>Returns!A87</f>
        <v>0</v>
      </c>
      <c r="B87" s="1">
        <f>MAX(CumRet!$B$2:$B$87)-CumRet!B87</f>
        <v>0</v>
      </c>
    </row>
    <row r="88" spans="1:2">
      <c r="A88" s="11">
        <f>Returns!A88</f>
        <v>0</v>
      </c>
      <c r="B88" s="1">
        <f>MAX(CumRet!$B$2:$B$88)-CumRet!B88</f>
        <v>0</v>
      </c>
    </row>
    <row r="89" spans="1:2">
      <c r="A89" s="11">
        <f>Returns!A89</f>
        <v>0</v>
      </c>
      <c r="B89" s="1">
        <f>MAX(CumRet!$B$2:$B$89)-CumRet!B89</f>
        <v>0</v>
      </c>
    </row>
    <row r="90" spans="1:2">
      <c r="A90" s="11">
        <f>Returns!A90</f>
        <v>0</v>
      </c>
      <c r="B90" s="1">
        <f>MAX(CumRet!$B$2:$B$90)-CumRet!B90</f>
        <v>0</v>
      </c>
    </row>
    <row r="91" spans="1:2">
      <c r="A91" s="11">
        <f>Returns!A91</f>
        <v>0</v>
      </c>
      <c r="B91" s="1">
        <f>MAX(CumRet!$B$2:$B$91)-CumRet!B91</f>
        <v>0</v>
      </c>
    </row>
    <row r="92" spans="1:2">
      <c r="A92" s="11">
        <f>Returns!A92</f>
        <v>0</v>
      </c>
      <c r="B92" s="1">
        <f>MAX(CumRet!$B$2:$B$92)-CumRet!B92</f>
        <v>0</v>
      </c>
    </row>
    <row r="93" spans="1:2">
      <c r="A93" s="11">
        <f>Returns!A93</f>
        <v>0</v>
      </c>
      <c r="B93" s="1">
        <f>MAX(CumRet!$B$2:$B$93)-CumRet!B93</f>
        <v>0</v>
      </c>
    </row>
    <row r="94" spans="1:2">
      <c r="A94" s="11">
        <f>Returns!A94</f>
        <v>0</v>
      </c>
      <c r="B94" s="1">
        <f>MAX(CumRet!$B$2:$B$94)-CumRet!B94</f>
        <v>0</v>
      </c>
    </row>
    <row r="95" spans="1:2">
      <c r="A95" s="11">
        <f>Returns!A95</f>
        <v>0</v>
      </c>
      <c r="B95" s="1">
        <f>MAX(CumRet!$B$2:$B$95)-CumRet!B95</f>
        <v>0</v>
      </c>
    </row>
    <row r="96" spans="1:2">
      <c r="A96" s="11">
        <f>Returns!A96</f>
        <v>0</v>
      </c>
      <c r="B96" s="1">
        <f>MAX(CumRet!$B$2:$B$96)-CumRet!B96</f>
        <v>0</v>
      </c>
    </row>
    <row r="97" spans="1:2">
      <c r="A97" s="11">
        <f>Returns!A97</f>
        <v>0</v>
      </c>
      <c r="B97" s="1">
        <f>MAX(CumRet!$B$2:$B$97)-CumRet!B97</f>
        <v>0</v>
      </c>
    </row>
    <row r="98" spans="1:2">
      <c r="A98" s="11">
        <f>Returns!A98</f>
        <v>0</v>
      </c>
      <c r="B98" s="1">
        <f>MAX(CumRet!$B$2:$B$98)-CumRet!B98</f>
        <v>0</v>
      </c>
    </row>
    <row r="99" spans="1:2">
      <c r="A99" s="11">
        <f>Returns!A99</f>
        <v>0</v>
      </c>
      <c r="B99" s="1">
        <f>MAX(CumRet!$B$2:$B$99)-CumRet!B99</f>
        <v>0</v>
      </c>
    </row>
    <row r="100" spans="1:2">
      <c r="A100" s="11">
        <f>Returns!A100</f>
        <v>0</v>
      </c>
      <c r="B100" s="1">
        <f>MAX(CumRet!$B$2:$B$100)-CumRet!B100</f>
        <v>0</v>
      </c>
    </row>
    <row r="101" spans="1:2">
      <c r="A101" s="11">
        <f>Returns!A101</f>
        <v>0</v>
      </c>
      <c r="B101" s="1">
        <f>MAX(CumRet!$B$2:$B$101)-CumRet!B101</f>
        <v>0</v>
      </c>
    </row>
    <row r="102" spans="1:2">
      <c r="A102" s="11">
        <f>Returns!A102</f>
        <v>0</v>
      </c>
      <c r="B102" s="1">
        <f>MAX(CumRet!$B$2:$B$102)-CumRet!B102</f>
        <v>0</v>
      </c>
    </row>
    <row r="103" spans="1:2">
      <c r="A103" s="11">
        <f>Returns!A103</f>
        <v>0</v>
      </c>
      <c r="B103" s="1">
        <f>MAX(CumRet!$B$2:$B$103)-CumRet!B103</f>
        <v>0</v>
      </c>
    </row>
    <row r="104" spans="1:2">
      <c r="A104" s="11">
        <f>Returns!A104</f>
        <v>0</v>
      </c>
      <c r="B104" s="1">
        <f>MAX(CumRet!$B$2:$B$104)-CumRet!B104</f>
        <v>0</v>
      </c>
    </row>
    <row r="105" spans="1:2">
      <c r="A105" s="11">
        <f>Returns!A105</f>
        <v>0</v>
      </c>
      <c r="B105" s="1">
        <f>MAX(CumRet!$B$2:$B$105)-CumRet!B105</f>
        <v>0</v>
      </c>
    </row>
    <row r="106" spans="1:2">
      <c r="A106" s="11">
        <f>Returns!A106</f>
        <v>0</v>
      </c>
      <c r="B106" s="1">
        <f>MAX(CumRet!$B$2:$B$106)-CumRet!B106</f>
        <v>0</v>
      </c>
    </row>
    <row r="107" spans="1:2">
      <c r="A107" s="11">
        <f>Returns!A107</f>
        <v>0</v>
      </c>
      <c r="B107" s="1">
        <f>MAX(CumRet!$B$2:$B$107)-CumRet!B107</f>
        <v>0</v>
      </c>
    </row>
    <row r="108" spans="1:2">
      <c r="A108" s="11">
        <f>Returns!A108</f>
        <v>0</v>
      </c>
      <c r="B108" s="1">
        <f>MAX(CumRet!$B$2:$B$108)-CumRet!B108</f>
        <v>0</v>
      </c>
    </row>
    <row r="109" spans="1:2">
      <c r="A109" s="11">
        <f>Returns!A109</f>
        <v>0</v>
      </c>
      <c r="B109" s="1">
        <f>MAX(CumRet!$B$2:$B$109)-CumRet!B109</f>
        <v>0</v>
      </c>
    </row>
    <row r="110" spans="1:2">
      <c r="A110" s="11">
        <f>Returns!A110</f>
        <v>0</v>
      </c>
      <c r="B110" s="1">
        <f>MAX(CumRet!$B$2:$B$110)-CumRet!B110</f>
        <v>0</v>
      </c>
    </row>
    <row r="111" spans="1:2">
      <c r="A111" s="11">
        <f>Returns!A111</f>
        <v>0</v>
      </c>
      <c r="B111" s="1">
        <f>MAX(CumRet!$B$2:$B$111)-CumRet!B111</f>
        <v>0</v>
      </c>
    </row>
    <row r="112" spans="1:2">
      <c r="A112" s="11">
        <f>Returns!A112</f>
        <v>0</v>
      </c>
      <c r="B112" s="1">
        <f>MAX(CumRet!$B$2:$B$112)-CumRet!B112</f>
        <v>0</v>
      </c>
    </row>
    <row r="113" spans="1:2">
      <c r="A113" s="11">
        <f>Returns!A113</f>
        <v>0</v>
      </c>
      <c r="B113" s="1">
        <f>MAX(CumRet!$B$2:$B$113)-CumRet!B113</f>
        <v>0</v>
      </c>
    </row>
    <row r="114" spans="1:2">
      <c r="A114" s="11">
        <f>Returns!A114</f>
        <v>0</v>
      </c>
      <c r="B114" s="1">
        <f>MAX(CumRet!$B$2:$B$114)-CumRet!B114</f>
        <v>0</v>
      </c>
    </row>
    <row r="115" spans="1:2">
      <c r="A115" s="11">
        <f>Returns!A115</f>
        <v>0</v>
      </c>
      <c r="B115" s="1">
        <f>MAX(CumRet!$B$2:$B$115)-CumRet!B115</f>
        <v>0</v>
      </c>
    </row>
    <row r="116" spans="1:2">
      <c r="A116" s="11">
        <f>Returns!A116</f>
        <v>0</v>
      </c>
      <c r="B116" s="1">
        <f>MAX(CumRet!$B$2:$B$116)-CumRet!B116</f>
        <v>0</v>
      </c>
    </row>
    <row r="117" spans="1:2">
      <c r="A117" s="11">
        <f>Returns!A117</f>
        <v>0</v>
      </c>
      <c r="B117" s="1">
        <f>MAX(CumRet!$B$2:$B$117)-CumRet!B117</f>
        <v>0</v>
      </c>
    </row>
    <row r="118" spans="1:2">
      <c r="A118" s="11">
        <f>Returns!A118</f>
        <v>0</v>
      </c>
      <c r="B118" s="1">
        <f>MAX(CumRet!$B$2:$B$118)-CumRet!B118</f>
        <v>0</v>
      </c>
    </row>
    <row r="119" spans="1:2">
      <c r="A119" s="11">
        <f>Returns!A119</f>
        <v>0</v>
      </c>
      <c r="B119" s="1">
        <f>MAX(CumRet!$B$2:$B$119)-CumRet!B119</f>
        <v>0</v>
      </c>
    </row>
    <row r="120" spans="1:2">
      <c r="A120" s="11">
        <f>Returns!A120</f>
        <v>0</v>
      </c>
      <c r="B120" s="1">
        <f>MAX(CumRet!$B$2:$B$120)-CumRet!B120</f>
        <v>0</v>
      </c>
    </row>
    <row r="121" spans="1:2">
      <c r="A121" s="11">
        <f>Returns!A121</f>
        <v>0</v>
      </c>
      <c r="B121" s="1">
        <f>MAX(CumRet!$B$2:$B$121)-CumRet!B121</f>
        <v>0</v>
      </c>
    </row>
    <row r="122" spans="1:2">
      <c r="A122" s="11">
        <f>Returns!A122</f>
        <v>0</v>
      </c>
      <c r="B122" s="1">
        <f>MAX(CumRet!$B$2:$B$122)-CumRet!B122</f>
        <v>0</v>
      </c>
    </row>
    <row r="123" spans="1:2">
      <c r="A123" s="11">
        <f>Returns!A123</f>
        <v>0</v>
      </c>
      <c r="B123" s="1">
        <f>MAX(CumRet!$B$2:$B$123)-CumRet!B123</f>
        <v>0</v>
      </c>
    </row>
    <row r="124" spans="1:2">
      <c r="A124" s="11">
        <f>Returns!A124</f>
        <v>0</v>
      </c>
      <c r="B124" s="1">
        <f>MAX(CumRet!$B$2:$B$124)-CumRet!B124</f>
        <v>0</v>
      </c>
    </row>
    <row r="125" spans="1:2">
      <c r="A125" s="11">
        <f>Returns!A125</f>
        <v>0</v>
      </c>
      <c r="B125" s="1">
        <f>MAX(CumRet!$B$2:$B$125)-CumRet!B125</f>
        <v>0</v>
      </c>
    </row>
    <row r="126" spans="1:2">
      <c r="A126" s="11">
        <f>Returns!A126</f>
        <v>0</v>
      </c>
      <c r="B126" s="1">
        <f>MAX(CumRet!$B$2:$B$126)-CumRet!B126</f>
        <v>0</v>
      </c>
    </row>
    <row r="127" spans="1:2">
      <c r="A127" s="11">
        <f>Returns!A127</f>
        <v>0</v>
      </c>
      <c r="B127" s="1">
        <f>MAX(CumRet!$B$2:$B$127)-CumRet!B127</f>
        <v>0</v>
      </c>
    </row>
    <row r="128" spans="1:2">
      <c r="A128" s="11">
        <f>Returns!A128</f>
        <v>0</v>
      </c>
      <c r="B128" s="1">
        <f>MAX(CumRet!$B$2:$B$128)-CumRet!B128</f>
        <v>0</v>
      </c>
    </row>
    <row r="129" spans="1:2">
      <c r="A129" s="11">
        <f>Returns!A129</f>
        <v>0</v>
      </c>
      <c r="B129" s="1">
        <f>MAX(CumRet!$B$2:$B$129)-CumRet!B129</f>
        <v>0</v>
      </c>
    </row>
    <row r="130" spans="1:2">
      <c r="A130" s="11">
        <f>Returns!A130</f>
        <v>0</v>
      </c>
      <c r="B130" s="1">
        <f>MAX(CumRet!$B$2:$B$130)-CumRet!B130</f>
        <v>0</v>
      </c>
    </row>
    <row r="131" spans="1:2">
      <c r="A131" s="11">
        <f>Returns!A131</f>
        <v>0</v>
      </c>
      <c r="B131" s="1">
        <f>MAX(CumRet!$B$2:$B$131)-CumRet!B131</f>
        <v>0</v>
      </c>
    </row>
    <row r="132" spans="1:2">
      <c r="A132" s="11">
        <f>Returns!A132</f>
        <v>0</v>
      </c>
      <c r="B132" s="1">
        <f>MAX(CumRet!$B$2:$B$132)-CumRet!B132</f>
        <v>0</v>
      </c>
    </row>
    <row r="133" spans="1:2">
      <c r="A133" s="11">
        <f>Returns!A133</f>
        <v>0</v>
      </c>
      <c r="B133" s="1">
        <f>MAX(CumRet!$B$2:$B$133)-CumRet!B133</f>
        <v>0</v>
      </c>
    </row>
    <row r="134" spans="1:2">
      <c r="A134" s="11">
        <f>Returns!A134</f>
        <v>0</v>
      </c>
      <c r="B134" s="1">
        <f>MAX(CumRet!$B$2:$B$134)-CumRet!B134</f>
        <v>0</v>
      </c>
    </row>
    <row r="135" spans="1:2">
      <c r="A135" s="11">
        <f>Returns!A135</f>
        <v>0</v>
      </c>
      <c r="B135" s="1">
        <f>MAX(CumRet!$B$2:$B$135)-CumRet!B135</f>
        <v>0</v>
      </c>
    </row>
    <row r="136" spans="1:2">
      <c r="A136" s="11">
        <f>Returns!A136</f>
        <v>0</v>
      </c>
      <c r="B136" s="1">
        <f>MAX(CumRet!$B$2:$B$136)-CumRet!B136</f>
        <v>0</v>
      </c>
    </row>
    <row r="137" spans="1:2">
      <c r="A137" s="11">
        <f>Returns!A137</f>
        <v>0</v>
      </c>
      <c r="B137" s="1">
        <f>MAX(CumRet!$B$2:$B$137)-CumRet!B137</f>
        <v>0</v>
      </c>
    </row>
    <row r="138" spans="1:2">
      <c r="A138" s="11">
        <f>Returns!A138</f>
        <v>0</v>
      </c>
      <c r="B138" s="1">
        <f>MAX(CumRet!$B$2:$B$138)-CumRet!B138</f>
        <v>0</v>
      </c>
    </row>
    <row r="139" spans="1:2">
      <c r="A139" s="11">
        <f>Returns!A139</f>
        <v>0</v>
      </c>
      <c r="B139" s="1">
        <f>MAX(CumRet!$B$2:$B$139)-CumRet!B139</f>
        <v>0</v>
      </c>
    </row>
    <row r="140" spans="1:2">
      <c r="A140" s="11">
        <f>Returns!A140</f>
        <v>0</v>
      </c>
      <c r="B140" s="1">
        <f>MAX(CumRet!$B$2:$B$140)-CumRet!B140</f>
        <v>0</v>
      </c>
    </row>
    <row r="141" spans="1:2">
      <c r="A141" s="11">
        <f>Returns!A141</f>
        <v>0</v>
      </c>
      <c r="B141" s="1">
        <f>MAX(CumRet!$B$2:$B$141)-CumRet!B141</f>
        <v>0</v>
      </c>
    </row>
    <row r="142" spans="1:2">
      <c r="A142" s="11">
        <f>Returns!A142</f>
        <v>0</v>
      </c>
      <c r="B142" s="1">
        <f>MAX(CumRet!$B$2:$B$142)-CumRet!B142</f>
        <v>0</v>
      </c>
    </row>
    <row r="143" spans="1:2">
      <c r="A143" s="11">
        <f>Returns!A143</f>
        <v>0</v>
      </c>
      <c r="B143" s="1">
        <f>MAX(CumRet!$B$2:$B$143)-CumRet!B143</f>
        <v>0</v>
      </c>
    </row>
    <row r="144" spans="1:2">
      <c r="A144" s="11">
        <f>Returns!A144</f>
        <v>0</v>
      </c>
      <c r="B144" s="1">
        <f>MAX(CumRet!$B$2:$B$144)-CumRet!B144</f>
        <v>0</v>
      </c>
    </row>
    <row r="145" spans="1:2">
      <c r="A145" s="11">
        <f>Returns!A145</f>
        <v>0</v>
      </c>
      <c r="B145" s="1">
        <f>MAX(CumRet!$B$2:$B$145)-CumRet!B145</f>
        <v>0</v>
      </c>
    </row>
    <row r="146" spans="1:2">
      <c r="A146" s="11">
        <f>Returns!A146</f>
        <v>0</v>
      </c>
      <c r="B146" s="1">
        <f>MAX(CumRet!$B$2:$B$146)-CumRet!B146</f>
        <v>0</v>
      </c>
    </row>
    <row r="147" spans="1:2">
      <c r="A147" s="11">
        <f>Returns!A147</f>
        <v>0</v>
      </c>
      <c r="B147" s="1">
        <f>MAX(CumRet!$B$2:$B$147)-CumRet!B147</f>
        <v>0</v>
      </c>
    </row>
    <row r="148" spans="1:2">
      <c r="A148" s="11">
        <f>Returns!A148</f>
        <v>0</v>
      </c>
      <c r="B148" s="1">
        <f>MAX(CumRet!$B$2:$B$148)-CumRet!B148</f>
        <v>0</v>
      </c>
    </row>
    <row r="149" spans="1:2">
      <c r="A149" s="11">
        <f>Returns!A149</f>
        <v>0</v>
      </c>
      <c r="B149" s="1">
        <f>MAX(CumRet!$B$2:$B$149)-CumRet!B149</f>
        <v>0</v>
      </c>
    </row>
    <row r="150" spans="1:2">
      <c r="A150" s="11">
        <f>Returns!A150</f>
        <v>0</v>
      </c>
      <c r="B150" s="1">
        <f>MAX(CumRet!$B$2:$B$150)-CumRet!B150</f>
        <v>0</v>
      </c>
    </row>
    <row r="151" spans="1:2">
      <c r="A151" s="11">
        <f>Returns!A151</f>
        <v>0</v>
      </c>
      <c r="B151" s="1">
        <f>MAX(CumRet!$B$2:$B$151)-CumRet!B151</f>
        <v>0</v>
      </c>
    </row>
    <row r="152" spans="1:2">
      <c r="A152" s="11">
        <f>Returns!A152</f>
        <v>0</v>
      </c>
      <c r="B152" s="1">
        <f>MAX(CumRet!$B$2:$B$152)-CumRet!B152</f>
        <v>0</v>
      </c>
    </row>
    <row r="153" spans="1:2">
      <c r="A153" s="11">
        <f>Returns!A153</f>
        <v>0</v>
      </c>
      <c r="B153" s="1">
        <f>MAX(CumRet!$B$2:$B$153)-CumRet!B153</f>
        <v>0</v>
      </c>
    </row>
    <row r="154" spans="1:2">
      <c r="A154" s="11">
        <f>Returns!A154</f>
        <v>0</v>
      </c>
      <c r="B154" s="1">
        <f>MAX(CumRet!$B$2:$B$154)-CumRet!B154</f>
        <v>0</v>
      </c>
    </row>
    <row r="155" spans="1:2">
      <c r="A155" s="11">
        <f>Returns!A155</f>
        <v>0</v>
      </c>
      <c r="B155" s="1">
        <f>MAX(CumRet!$B$2:$B$155)-CumRet!B155</f>
        <v>0</v>
      </c>
    </row>
    <row r="156" spans="1:2">
      <c r="A156" s="11">
        <f>Returns!A156</f>
        <v>0</v>
      </c>
      <c r="B156" s="1">
        <f>MAX(CumRet!$B$2:$B$156)-CumRet!B156</f>
        <v>0</v>
      </c>
    </row>
    <row r="157" spans="1:2">
      <c r="A157" s="11">
        <f>Returns!A157</f>
        <v>0</v>
      </c>
      <c r="B157" s="1">
        <f>MAX(CumRet!$B$2:$B$157)-CumRet!B157</f>
        <v>0</v>
      </c>
    </row>
    <row r="158" spans="1:2">
      <c r="A158" s="11">
        <f>Returns!A158</f>
        <v>0</v>
      </c>
      <c r="B158" s="1">
        <f>MAX(CumRet!$B$2:$B$158)-CumRet!B158</f>
        <v>0</v>
      </c>
    </row>
    <row r="159" spans="1:2">
      <c r="A159" s="11">
        <f>Returns!A159</f>
        <v>0</v>
      </c>
      <c r="B159" s="1">
        <f>MAX(CumRet!$B$2:$B$159)-CumRet!B159</f>
        <v>0</v>
      </c>
    </row>
    <row r="160" spans="1:2">
      <c r="A160" s="11">
        <f>Returns!A160</f>
        <v>0</v>
      </c>
      <c r="B160" s="1">
        <f>MAX(CumRet!$B$2:$B$160)-CumRet!B160</f>
        <v>0</v>
      </c>
    </row>
    <row r="161" spans="1:2">
      <c r="A161" s="11">
        <f>Returns!A161</f>
        <v>0</v>
      </c>
      <c r="B161" s="1">
        <f>MAX(CumRet!$B$2:$B$161)-CumRet!B161</f>
        <v>0</v>
      </c>
    </row>
    <row r="162" spans="1:2">
      <c r="A162" s="11">
        <f>Returns!A162</f>
        <v>0</v>
      </c>
      <c r="B162" s="1">
        <f>MAX(CumRet!$B$2:$B$162)-CumRet!B162</f>
        <v>0</v>
      </c>
    </row>
    <row r="163" spans="1:2">
      <c r="A163" s="11">
        <f>Returns!A163</f>
        <v>0</v>
      </c>
      <c r="B163" s="1">
        <f>MAX(CumRet!$B$2:$B$163)-CumRet!B163</f>
        <v>0</v>
      </c>
    </row>
    <row r="164" spans="1:2">
      <c r="A164" s="11">
        <f>Returns!A164</f>
        <v>0</v>
      </c>
      <c r="B164" s="1">
        <f>MAX(CumRet!$B$2:$B$164)-CumRet!B164</f>
        <v>0</v>
      </c>
    </row>
    <row r="165" spans="1:2">
      <c r="A165" s="11">
        <f>Returns!A165</f>
        <v>0</v>
      </c>
      <c r="B165" s="1">
        <f>MAX(CumRet!$B$2:$B$165)-CumRet!B165</f>
        <v>0</v>
      </c>
    </row>
    <row r="166" spans="1:2">
      <c r="A166" s="11">
        <f>Returns!A166</f>
        <v>0</v>
      </c>
      <c r="B166" s="1">
        <f>MAX(CumRet!$B$2:$B$166)-CumRet!B166</f>
        <v>0</v>
      </c>
    </row>
    <row r="167" spans="1:2">
      <c r="A167" s="11">
        <f>Returns!A167</f>
        <v>0</v>
      </c>
      <c r="B167" s="1">
        <f>MAX(CumRet!$B$2:$B$167)-CumRet!B167</f>
        <v>0</v>
      </c>
    </row>
    <row r="168" spans="1:2">
      <c r="A168" s="11">
        <f>Returns!A168</f>
        <v>0</v>
      </c>
      <c r="B168" s="1">
        <f>MAX(CumRet!$B$2:$B$168)-CumRet!B168</f>
        <v>0</v>
      </c>
    </row>
    <row r="169" spans="1:2">
      <c r="A169" s="11">
        <f>Returns!A169</f>
        <v>0</v>
      </c>
      <c r="B169" s="1">
        <f>MAX(CumRet!$B$2:$B$169)-CumRet!B169</f>
        <v>0</v>
      </c>
    </row>
    <row r="170" spans="1:2">
      <c r="A170" s="11">
        <f>Returns!A170</f>
        <v>0</v>
      </c>
      <c r="B170" s="1">
        <f>MAX(CumRet!$B$2:$B$170)-CumRet!B170</f>
        <v>0</v>
      </c>
    </row>
    <row r="171" spans="1:2">
      <c r="A171" s="11">
        <f>Returns!A171</f>
        <v>0</v>
      </c>
      <c r="B171" s="1">
        <f>MAX(CumRet!$B$2:$B$171)-CumRet!B171</f>
        <v>0</v>
      </c>
    </row>
    <row r="172" spans="1:2">
      <c r="A172" s="11">
        <f>Returns!A172</f>
        <v>0</v>
      </c>
      <c r="B172" s="1">
        <f>MAX(CumRet!$B$2:$B$172)-CumRet!B172</f>
        <v>0</v>
      </c>
    </row>
    <row r="173" spans="1:2">
      <c r="A173" s="11">
        <f>Returns!A173</f>
        <v>0</v>
      </c>
      <c r="B173" s="1">
        <f>MAX(CumRet!$B$2:$B$173)-CumRet!B173</f>
        <v>0</v>
      </c>
    </row>
    <row r="174" spans="1:2">
      <c r="A174" s="11">
        <f>Returns!A174</f>
        <v>0</v>
      </c>
      <c r="B174" s="1">
        <f>MAX(CumRet!$B$2:$B$174)-CumRet!B174</f>
        <v>0</v>
      </c>
    </row>
    <row r="175" spans="1:2">
      <c r="A175" s="11">
        <f>Returns!A175</f>
        <v>0</v>
      </c>
      <c r="B175" s="1">
        <f>MAX(CumRet!$B$2:$B$175)-CumRet!B175</f>
        <v>0</v>
      </c>
    </row>
    <row r="176" spans="1:2">
      <c r="A176" s="11">
        <f>Returns!A176</f>
        <v>0</v>
      </c>
      <c r="B176" s="1">
        <f>MAX(CumRet!$B$2:$B$176)-CumRet!B176</f>
        <v>0</v>
      </c>
    </row>
    <row r="177" spans="1:2">
      <c r="A177" s="11">
        <f>Returns!A177</f>
        <v>0</v>
      </c>
      <c r="B177" s="1">
        <f>MAX(CumRet!$B$2:$B$177)-CumRet!B177</f>
        <v>0</v>
      </c>
    </row>
    <row r="178" spans="1:2">
      <c r="A178" s="11">
        <f>Returns!A178</f>
        <v>0</v>
      </c>
      <c r="B178" s="1">
        <f>MAX(CumRet!$B$2:$B$178)-CumRet!B178</f>
        <v>0</v>
      </c>
    </row>
    <row r="179" spans="1:2">
      <c r="A179" s="11">
        <f>Returns!A179</f>
        <v>0</v>
      </c>
      <c r="B179" s="1">
        <f>MAX(CumRet!$B$2:$B$179)-CumRet!B179</f>
        <v>0</v>
      </c>
    </row>
    <row r="180" spans="1:2">
      <c r="A180" s="11">
        <f>Returns!A180</f>
        <v>0</v>
      </c>
      <c r="B180" s="1">
        <f>MAX(CumRet!$B$2:$B$180)-CumRet!B180</f>
        <v>0</v>
      </c>
    </row>
    <row r="181" spans="1:2">
      <c r="A181" s="11">
        <f>Returns!A181</f>
        <v>0</v>
      </c>
      <c r="B181" s="1">
        <f>MAX(CumRet!$B$2:$B$181)-CumRet!B181</f>
        <v>0</v>
      </c>
    </row>
    <row r="182" spans="1:2">
      <c r="A182" s="11">
        <f>Returns!A182</f>
        <v>0</v>
      </c>
      <c r="B182" s="1">
        <f>MAX(CumRet!$B$2:$B$182)-CumRet!B182</f>
        <v>0</v>
      </c>
    </row>
    <row r="183" spans="1:2">
      <c r="A183" s="11">
        <f>Returns!A183</f>
        <v>0</v>
      </c>
      <c r="B183" s="1">
        <f>MAX(CumRet!$B$2:$B$183)-CumRet!B183</f>
        <v>0</v>
      </c>
    </row>
    <row r="184" spans="1:2">
      <c r="A184" s="11">
        <f>Returns!A184</f>
        <v>0</v>
      </c>
      <c r="B184" s="1">
        <f>MAX(CumRet!$B$2:$B$184)-CumRet!B184</f>
        <v>0</v>
      </c>
    </row>
    <row r="185" spans="1:2">
      <c r="A185" s="11">
        <f>Returns!A185</f>
        <v>0</v>
      </c>
      <c r="B185" s="1">
        <f>MAX(CumRet!$B$2:$B$185)-CumRet!B185</f>
        <v>0</v>
      </c>
    </row>
    <row r="186" spans="1:2">
      <c r="A186" s="11">
        <f>Returns!A186</f>
        <v>0</v>
      </c>
      <c r="B186" s="1">
        <f>MAX(CumRet!$B$2:$B$186)-CumRet!B186</f>
        <v>0</v>
      </c>
    </row>
    <row r="187" spans="1:2">
      <c r="A187" s="11">
        <f>Returns!A187</f>
        <v>0</v>
      </c>
      <c r="B187" s="1">
        <f>MAX(CumRet!$B$2:$B$187)-CumRet!B187</f>
        <v>0</v>
      </c>
    </row>
    <row r="188" spans="1:2">
      <c r="A188" s="11">
        <f>Returns!A188</f>
        <v>0</v>
      </c>
      <c r="B188" s="1">
        <f>MAX(CumRet!$B$2:$B$188)-CumRet!B188</f>
        <v>0</v>
      </c>
    </row>
    <row r="189" spans="1:2">
      <c r="A189" s="11">
        <f>Returns!A189</f>
        <v>0</v>
      </c>
      <c r="B189" s="1">
        <f>MAX(CumRet!$B$2:$B$189)-CumRet!B189</f>
        <v>0</v>
      </c>
    </row>
    <row r="190" spans="1:2">
      <c r="A190" s="11">
        <f>Returns!A190</f>
        <v>0</v>
      </c>
      <c r="B190" s="1">
        <f>MAX(CumRet!$B$2:$B$190)-CumRet!B190</f>
        <v>0</v>
      </c>
    </row>
    <row r="191" spans="1:2">
      <c r="A191" s="11">
        <f>Returns!A191</f>
        <v>0</v>
      </c>
      <c r="B191" s="1">
        <f>MAX(CumRet!$B$2:$B$191)-CumRet!B191</f>
        <v>0</v>
      </c>
    </row>
    <row r="192" spans="1:2">
      <c r="A192" s="11">
        <f>Returns!A192</f>
        <v>0</v>
      </c>
      <c r="B192" s="1">
        <f>MAX(CumRet!$B$2:$B$192)-CumRet!B192</f>
        <v>0</v>
      </c>
    </row>
    <row r="193" spans="1:2">
      <c r="A193" s="11">
        <f>Returns!A193</f>
        <v>0</v>
      </c>
      <c r="B193" s="1">
        <f>MAX(CumRet!$B$2:$B$193)-CumRet!B193</f>
        <v>0</v>
      </c>
    </row>
    <row r="194" spans="1:2">
      <c r="A194" s="11">
        <f>Returns!A194</f>
        <v>0</v>
      </c>
      <c r="B194" s="1">
        <f>MAX(CumRet!$B$2:$B$194)-CumRet!B194</f>
        <v>0</v>
      </c>
    </row>
    <row r="195" spans="1:2">
      <c r="A195" s="11">
        <f>Returns!A195</f>
        <v>0</v>
      </c>
      <c r="B195" s="1">
        <f>MAX(CumRet!$B$2:$B$195)-CumRet!B195</f>
        <v>0</v>
      </c>
    </row>
    <row r="196" spans="1:2">
      <c r="A196" s="11">
        <f>Returns!A196</f>
        <v>0</v>
      </c>
      <c r="B196" s="1">
        <f>MAX(CumRet!$B$2:$B$196)-CumRet!B196</f>
        <v>0</v>
      </c>
    </row>
    <row r="197" spans="1:2">
      <c r="A197" s="11">
        <f>Returns!A197</f>
        <v>0</v>
      </c>
      <c r="B197" s="1">
        <f>MAX(CumRet!$B$2:$B$197)-CumRet!B197</f>
        <v>0</v>
      </c>
    </row>
    <row r="198" spans="1:2">
      <c r="A198" s="11">
        <f>Returns!A198</f>
        <v>0</v>
      </c>
      <c r="B198" s="1">
        <f>MAX(CumRet!$B$2:$B$198)-CumRet!B198</f>
        <v>0</v>
      </c>
    </row>
    <row r="199" spans="1:2">
      <c r="A199" s="11">
        <f>Returns!A199</f>
        <v>0</v>
      </c>
      <c r="B199" s="1">
        <f>MAX(CumRet!$B$2:$B$199)-CumRet!B199</f>
        <v>0</v>
      </c>
    </row>
    <row r="200" spans="1:2">
      <c r="A200" s="11">
        <f>Returns!A200</f>
        <v>0</v>
      </c>
      <c r="B200" s="1">
        <f>MAX(CumRet!$B$2:$B$200)-CumRet!B200</f>
        <v>0</v>
      </c>
    </row>
    <row r="201" spans="1:2">
      <c r="A201" s="11">
        <f>Returns!A201</f>
        <v>0</v>
      </c>
      <c r="B201" s="1">
        <f>MAX(CumRet!$B$2:$B$201)-CumRet!B201</f>
        <v>0</v>
      </c>
    </row>
    <row r="202" spans="1:2">
      <c r="A202" s="11">
        <f>Returns!A202</f>
        <v>0</v>
      </c>
      <c r="B202" s="1">
        <f>MAX(CumRet!$B$2:$B$202)-CumRet!B202</f>
        <v>0</v>
      </c>
    </row>
    <row r="203" spans="1:2">
      <c r="A203" s="11">
        <f>Returns!A203</f>
        <v>0</v>
      </c>
      <c r="B203" s="1">
        <f>MAX(CumRet!$B$2:$B$203)-CumRet!B203</f>
        <v>0</v>
      </c>
    </row>
    <row r="204" spans="1:2">
      <c r="A204" s="11">
        <f>Returns!A204</f>
        <v>0</v>
      </c>
      <c r="B204" s="1">
        <f>MAX(CumRet!$B$2:$B$204)-CumRet!B204</f>
        <v>0</v>
      </c>
    </row>
    <row r="205" spans="1:2">
      <c r="A205" s="11">
        <f>Returns!A205</f>
        <v>0</v>
      </c>
      <c r="B205" s="1">
        <f>MAX(CumRet!$B$2:$B$205)-CumRet!B205</f>
        <v>0</v>
      </c>
    </row>
    <row r="206" spans="1:2">
      <c r="A206" s="11">
        <f>Returns!A206</f>
        <v>0</v>
      </c>
      <c r="B206" s="1">
        <f>MAX(CumRet!$B$2:$B$206)-CumRet!B206</f>
        <v>0</v>
      </c>
    </row>
    <row r="207" spans="1:2">
      <c r="A207" s="11">
        <f>Returns!A207</f>
        <v>0</v>
      </c>
      <c r="B207" s="1">
        <f>MAX(CumRet!$B$2:$B$207)-CumRet!B207</f>
        <v>0</v>
      </c>
    </row>
    <row r="208" spans="1:2">
      <c r="A208" s="11">
        <f>Returns!A208</f>
        <v>0</v>
      </c>
      <c r="B208" s="1">
        <f>MAX(CumRet!$B$2:$B$208)-CumRet!B208</f>
        <v>0</v>
      </c>
    </row>
    <row r="209" spans="1:2">
      <c r="A209" s="11">
        <f>Returns!A209</f>
        <v>0</v>
      </c>
      <c r="B209" s="1">
        <f>MAX(CumRet!$B$2:$B$209)-CumRet!B209</f>
        <v>0</v>
      </c>
    </row>
    <row r="210" spans="1:2">
      <c r="A210" s="11">
        <f>Returns!A210</f>
        <v>0</v>
      </c>
      <c r="B210" s="1">
        <f>MAX(CumRet!$B$2:$B$210)-CumRet!B210</f>
        <v>0</v>
      </c>
    </row>
    <row r="211" spans="1:2">
      <c r="A211" s="11">
        <f>Returns!A211</f>
        <v>0</v>
      </c>
      <c r="B211" s="1">
        <f>MAX(CumRet!$B$2:$B$211)-CumRet!B211</f>
        <v>0</v>
      </c>
    </row>
    <row r="212" spans="1:2">
      <c r="A212" s="11">
        <f>Returns!A212</f>
        <v>0</v>
      </c>
      <c r="B212" s="1">
        <f>MAX(CumRet!$B$2:$B$212)-CumRet!B212</f>
        <v>0</v>
      </c>
    </row>
    <row r="213" spans="1:2">
      <c r="A213" s="11">
        <f>Returns!A213</f>
        <v>0</v>
      </c>
      <c r="B213" s="1">
        <f>MAX(CumRet!$B$2:$B$213)-CumRet!B213</f>
        <v>0</v>
      </c>
    </row>
    <row r="214" spans="1:2">
      <c r="A214" s="11">
        <f>Returns!A214</f>
        <v>0</v>
      </c>
      <c r="B214" s="1">
        <f>MAX(CumRet!$B$2:$B$214)-CumRet!B214</f>
        <v>0</v>
      </c>
    </row>
    <row r="215" spans="1:2">
      <c r="A215" s="11">
        <f>Returns!A215</f>
        <v>0</v>
      </c>
      <c r="B215" s="1">
        <f>MAX(CumRet!$B$2:$B$215)-CumRet!B215</f>
        <v>0</v>
      </c>
    </row>
    <row r="216" spans="1:2">
      <c r="A216" s="11">
        <f>Returns!A216</f>
        <v>0</v>
      </c>
      <c r="B216" s="1">
        <f>MAX(CumRet!$B$2:$B$216)-CumRet!B216</f>
        <v>0</v>
      </c>
    </row>
    <row r="217" spans="1:2">
      <c r="A217" s="11">
        <f>Returns!A217</f>
        <v>0</v>
      </c>
      <c r="B217" s="1">
        <f>MAX(CumRet!$B$2:$B$217)-CumRet!B217</f>
        <v>0</v>
      </c>
    </row>
    <row r="218" spans="1:2">
      <c r="A218" s="11">
        <f>Returns!A218</f>
        <v>0</v>
      </c>
      <c r="B218" s="1">
        <f>MAX(CumRet!$B$2:$B$218)-CumRet!B218</f>
        <v>0</v>
      </c>
    </row>
    <row r="219" spans="1:2">
      <c r="A219" s="11">
        <f>Returns!A219</f>
        <v>0</v>
      </c>
      <c r="B219" s="1">
        <f>MAX(CumRet!$B$2:$B$219)-CumRet!B219</f>
        <v>0</v>
      </c>
    </row>
    <row r="220" spans="1:2">
      <c r="A220" s="11">
        <f>Returns!A220</f>
        <v>0</v>
      </c>
      <c r="B220" s="1">
        <f>MAX(CumRet!$B$2:$B$220)-CumRet!B220</f>
        <v>0</v>
      </c>
    </row>
    <row r="221" spans="1:2">
      <c r="A221" s="11">
        <f>Returns!A221</f>
        <v>0</v>
      </c>
      <c r="B221" s="1">
        <f>MAX(CumRet!$B$2:$B$221)-CumRet!B221</f>
        <v>0</v>
      </c>
    </row>
    <row r="222" spans="1:2">
      <c r="A222" s="11">
        <f>Returns!A222</f>
        <v>0</v>
      </c>
      <c r="B222" s="1">
        <f>MAX(CumRet!$B$2:$B$222)-CumRet!B222</f>
        <v>0</v>
      </c>
    </row>
    <row r="223" spans="1:2">
      <c r="A223" s="11">
        <f>Returns!A223</f>
        <v>0</v>
      </c>
      <c r="B223" s="1">
        <f>MAX(CumRet!$B$2:$B$223)-CumRet!B223</f>
        <v>0</v>
      </c>
    </row>
    <row r="224" spans="1:2">
      <c r="A224" s="11">
        <f>Returns!A224</f>
        <v>0</v>
      </c>
      <c r="B224" s="1">
        <f>MAX(CumRet!$B$2:$B$224)-CumRet!B224</f>
        <v>0</v>
      </c>
    </row>
    <row r="225" spans="1:2">
      <c r="A225" s="11">
        <f>Returns!A225</f>
        <v>0</v>
      </c>
      <c r="B225" s="1">
        <f>MAX(CumRet!$B$2:$B$225)-CumRet!B225</f>
        <v>0</v>
      </c>
    </row>
    <row r="226" spans="1:2">
      <c r="A226" s="11">
        <f>Returns!A226</f>
        <v>0</v>
      </c>
      <c r="B226" s="1">
        <f>MAX(CumRet!$B$2:$B$226)-CumRet!B226</f>
        <v>0</v>
      </c>
    </row>
    <row r="227" spans="1:2">
      <c r="A227" s="11">
        <f>Returns!A227</f>
        <v>0</v>
      </c>
      <c r="B227" s="1">
        <f>MAX(CumRet!$B$2:$B$227)-CumRet!B227</f>
        <v>0</v>
      </c>
    </row>
    <row r="228" spans="1:2">
      <c r="A228" s="11">
        <f>Returns!A228</f>
        <v>0</v>
      </c>
      <c r="B228" s="1">
        <f>MAX(CumRet!$B$2:$B$228)-CumRet!B228</f>
        <v>0</v>
      </c>
    </row>
    <row r="229" spans="1:2">
      <c r="A229" s="11">
        <f>Returns!A229</f>
        <v>0</v>
      </c>
      <c r="B229" s="1">
        <f>MAX(CumRet!$B$2:$B$229)-CumRet!B229</f>
        <v>0</v>
      </c>
    </row>
    <row r="230" spans="1:2">
      <c r="A230" s="11">
        <f>Returns!A230</f>
        <v>0</v>
      </c>
      <c r="B230" s="1">
        <f>MAX(CumRet!$B$2:$B$230)-CumRet!B230</f>
        <v>0</v>
      </c>
    </row>
    <row r="231" spans="1:2">
      <c r="A231" s="11">
        <f>Returns!A231</f>
        <v>0</v>
      </c>
      <c r="B231" s="1">
        <f>MAX(CumRet!$B$2:$B$231)-CumRet!B231</f>
        <v>0</v>
      </c>
    </row>
    <row r="232" spans="1:2">
      <c r="A232" s="11">
        <f>Returns!A232</f>
        <v>0</v>
      </c>
      <c r="B232" s="1">
        <f>MAX(CumRet!$B$2:$B$232)-CumRet!B232</f>
        <v>0</v>
      </c>
    </row>
    <row r="233" spans="1:2">
      <c r="A233" s="11">
        <f>Returns!A233</f>
        <v>0</v>
      </c>
      <c r="B233" s="1">
        <f>MAX(CumRet!$B$2:$B$233)-CumRet!B233</f>
        <v>0</v>
      </c>
    </row>
    <row r="234" spans="1:2">
      <c r="A234" s="11">
        <f>Returns!A234</f>
        <v>0</v>
      </c>
      <c r="B234" s="1">
        <f>MAX(CumRet!$B$2:$B$234)-CumRet!B234</f>
        <v>0</v>
      </c>
    </row>
    <row r="235" spans="1:2">
      <c r="A235" s="11">
        <f>Returns!A235</f>
        <v>0</v>
      </c>
      <c r="B235" s="1">
        <f>MAX(CumRet!$B$2:$B$235)-CumRet!B235</f>
        <v>0</v>
      </c>
    </row>
    <row r="236" spans="1:2">
      <c r="A236" s="11">
        <f>Returns!A236</f>
        <v>0</v>
      </c>
      <c r="B236" s="1">
        <f>MAX(CumRet!$B$2:$B$236)-CumRet!B236</f>
        <v>0</v>
      </c>
    </row>
    <row r="237" spans="1:2">
      <c r="A237" s="11">
        <f>Returns!A237</f>
        <v>0</v>
      </c>
      <c r="B237" s="1">
        <f>MAX(CumRet!$B$2:$B$237)-CumRet!B237</f>
        <v>0</v>
      </c>
    </row>
    <row r="238" spans="1:2">
      <c r="A238" s="11">
        <f>Returns!A238</f>
        <v>0</v>
      </c>
      <c r="B238" s="1">
        <f>MAX(CumRet!$B$2:$B$238)-CumRet!B238</f>
        <v>0</v>
      </c>
    </row>
    <row r="239" spans="1:2">
      <c r="A239" s="11">
        <f>Returns!A239</f>
        <v>0</v>
      </c>
      <c r="B239" s="1">
        <f>MAX(CumRet!$B$2:$B$239)-CumRet!B239</f>
        <v>0</v>
      </c>
    </row>
    <row r="240" spans="1:2">
      <c r="A240" s="11">
        <f>Returns!A240</f>
        <v>0</v>
      </c>
      <c r="B240" s="1">
        <f>MAX(CumRet!$B$2:$B$240)-CumRet!B240</f>
        <v>0</v>
      </c>
    </row>
    <row r="241" spans="1:2">
      <c r="A241" s="11">
        <f>Returns!A241</f>
        <v>0</v>
      </c>
      <c r="B241" s="1">
        <f>MAX(CumRet!$B$2:$B$241)-CumRet!B241</f>
        <v>0</v>
      </c>
    </row>
    <row r="242" spans="1:2">
      <c r="A242" s="11">
        <f>Returns!A242</f>
        <v>0</v>
      </c>
      <c r="B242" s="1">
        <f>MAX(CumRet!$B$2:$B$242)-CumRet!B242</f>
        <v>0</v>
      </c>
    </row>
    <row r="243" spans="1:2">
      <c r="A243" s="11">
        <f>Returns!A243</f>
        <v>0</v>
      </c>
      <c r="B243" s="1">
        <f>MAX(CumRet!$B$2:$B$243)-CumRet!B243</f>
        <v>0</v>
      </c>
    </row>
    <row r="244" spans="1:2">
      <c r="A244" s="11">
        <f>Returns!A244</f>
        <v>0</v>
      </c>
      <c r="B244" s="1">
        <f>MAX(CumRet!$B$2:$B$244)-CumRet!B244</f>
        <v>0</v>
      </c>
    </row>
    <row r="245" spans="1:2">
      <c r="A245" s="11">
        <f>Returns!A245</f>
        <v>0</v>
      </c>
      <c r="B245" s="1">
        <f>MAX(CumRet!$B$2:$B$245)-CumRet!B245</f>
        <v>0</v>
      </c>
    </row>
    <row r="246" spans="1:2">
      <c r="A246" s="11">
        <f>Returns!A246</f>
        <v>0</v>
      </c>
      <c r="B246" s="1">
        <f>MAX(CumRet!$B$2:$B$246)-CumRet!B246</f>
        <v>0</v>
      </c>
    </row>
    <row r="247" spans="1:2">
      <c r="A247" s="11">
        <f>Returns!A247</f>
        <v>0</v>
      </c>
      <c r="B247" s="1">
        <f>MAX(CumRet!$B$2:$B$247)-CumRet!B247</f>
        <v>0</v>
      </c>
    </row>
    <row r="248" spans="1:2">
      <c r="A248" s="11">
        <f>Returns!A248</f>
        <v>0</v>
      </c>
      <c r="B248" s="1">
        <f>MAX(CumRet!$B$2:$B$248)-CumRet!B248</f>
        <v>0</v>
      </c>
    </row>
    <row r="249" spans="1:2">
      <c r="A249" s="11">
        <f>Returns!A249</f>
        <v>0</v>
      </c>
      <c r="B249" s="1">
        <f>MAX(CumRet!$B$2:$B$249)-CumRet!B249</f>
        <v>0</v>
      </c>
    </row>
    <row r="250" spans="1:2">
      <c r="A250" s="11">
        <f>Returns!A250</f>
        <v>0</v>
      </c>
      <c r="B250" s="1">
        <f>MAX(CumRet!$B$2:$B$250)-CumRet!B250</f>
        <v>0</v>
      </c>
    </row>
    <row r="251" spans="1:2">
      <c r="A251" s="11">
        <f>Returns!A251</f>
        <v>0</v>
      </c>
      <c r="B251" s="1">
        <f>MAX(CumRet!$B$2:$B$251)-CumRet!B251</f>
        <v>0</v>
      </c>
    </row>
    <row r="252" spans="1:2">
      <c r="A252" s="11">
        <f>Returns!A252</f>
        <v>0</v>
      </c>
      <c r="B252" s="1">
        <f>MAX(CumRet!$B$2:$B$252)-CumRet!B252</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MAX(Resume!B9/ 252-Portfolios!B2, 0)</f>
        <v>0</v>
      </c>
    </row>
    <row r="3" spans="1:2">
      <c r="A3" s="11">
        <f>Returns!A3</f>
        <v>0</v>
      </c>
      <c r="B3" s="1">
        <f>MAX(Resume!B9/ 252-Portfolios!B3, 0)</f>
        <v>0</v>
      </c>
    </row>
    <row r="4" spans="1:2">
      <c r="A4" s="11">
        <f>Returns!A4</f>
        <v>0</v>
      </c>
      <c r="B4" s="1">
        <f>MAX(Resume!B9/ 252-Portfolios!B4, 0)</f>
        <v>0</v>
      </c>
    </row>
    <row r="5" spans="1:2">
      <c r="A5" s="11">
        <f>Returns!A5</f>
        <v>0</v>
      </c>
      <c r="B5" s="1">
        <f>MAX(Resume!B9/ 252-Portfolios!B5, 0)</f>
        <v>0</v>
      </c>
    </row>
    <row r="6" spans="1:2">
      <c r="A6" s="11">
        <f>Returns!A6</f>
        <v>0</v>
      </c>
      <c r="B6" s="1">
        <f>MAX(Resume!B9/ 252-Portfolios!B6, 0)</f>
        <v>0</v>
      </c>
    </row>
    <row r="7" spans="1:2">
      <c r="A7" s="11">
        <f>Returns!A7</f>
        <v>0</v>
      </c>
      <c r="B7" s="1">
        <f>MAX(Resume!B9/ 252-Portfolios!B7, 0)</f>
        <v>0</v>
      </c>
    </row>
    <row r="8" spans="1:2">
      <c r="A8" s="11">
        <f>Returns!A8</f>
        <v>0</v>
      </c>
      <c r="B8" s="1">
        <f>MAX(Resume!B9/ 252-Portfolios!B8, 0)</f>
        <v>0</v>
      </c>
    </row>
    <row r="9" spans="1:2">
      <c r="A9" s="11">
        <f>Returns!A9</f>
        <v>0</v>
      </c>
      <c r="B9" s="1">
        <f>MAX(Resume!B9/ 252-Portfolios!B9, 0)</f>
        <v>0</v>
      </c>
    </row>
    <row r="10" spans="1:2">
      <c r="A10" s="11">
        <f>Returns!A10</f>
        <v>0</v>
      </c>
      <c r="B10" s="1">
        <f>MAX(Resume!B9/ 252-Portfolios!B10, 0)</f>
        <v>0</v>
      </c>
    </row>
    <row r="11" spans="1:2">
      <c r="A11" s="11">
        <f>Returns!A11</f>
        <v>0</v>
      </c>
      <c r="B11" s="1">
        <f>MAX(Resume!B9/ 252-Portfolios!B11, 0)</f>
        <v>0</v>
      </c>
    </row>
    <row r="12" spans="1:2">
      <c r="A12" s="11">
        <f>Returns!A12</f>
        <v>0</v>
      </c>
      <c r="B12" s="1">
        <f>MAX(Resume!B9/ 252-Portfolios!B12, 0)</f>
        <v>0</v>
      </c>
    </row>
    <row r="13" spans="1:2">
      <c r="A13" s="11">
        <f>Returns!A13</f>
        <v>0</v>
      </c>
      <c r="B13" s="1">
        <f>MAX(Resume!B9/ 252-Portfolios!B13, 0)</f>
        <v>0</v>
      </c>
    </row>
    <row r="14" spans="1:2">
      <c r="A14" s="11">
        <f>Returns!A14</f>
        <v>0</v>
      </c>
      <c r="B14" s="1">
        <f>MAX(Resume!B9/ 252-Portfolios!B14, 0)</f>
        <v>0</v>
      </c>
    </row>
    <row r="15" spans="1:2">
      <c r="A15" s="11">
        <f>Returns!A15</f>
        <v>0</v>
      </c>
      <c r="B15" s="1">
        <f>MAX(Resume!B9/ 252-Portfolios!B15, 0)</f>
        <v>0</v>
      </c>
    </row>
    <row r="16" spans="1:2">
      <c r="A16" s="11">
        <f>Returns!A16</f>
        <v>0</v>
      </c>
      <c r="B16" s="1">
        <f>MAX(Resume!B9/ 252-Portfolios!B16, 0)</f>
        <v>0</v>
      </c>
    </row>
    <row r="17" spans="1:2">
      <c r="A17" s="11">
        <f>Returns!A17</f>
        <v>0</v>
      </c>
      <c r="B17" s="1">
        <f>MAX(Resume!B9/ 252-Portfolios!B17, 0)</f>
        <v>0</v>
      </c>
    </row>
    <row r="18" spans="1:2">
      <c r="A18" s="11">
        <f>Returns!A18</f>
        <v>0</v>
      </c>
      <c r="B18" s="1">
        <f>MAX(Resume!B9/ 252-Portfolios!B18, 0)</f>
        <v>0</v>
      </c>
    </row>
    <row r="19" spans="1:2">
      <c r="A19" s="11">
        <f>Returns!A19</f>
        <v>0</v>
      </c>
      <c r="B19" s="1">
        <f>MAX(Resume!B9/ 252-Portfolios!B19, 0)</f>
        <v>0</v>
      </c>
    </row>
    <row r="20" spans="1:2">
      <c r="A20" s="11">
        <f>Returns!A20</f>
        <v>0</v>
      </c>
      <c r="B20" s="1">
        <f>MAX(Resume!B9/ 252-Portfolios!B20, 0)</f>
        <v>0</v>
      </c>
    </row>
    <row r="21" spans="1:2">
      <c r="A21" s="11">
        <f>Returns!A21</f>
        <v>0</v>
      </c>
      <c r="B21" s="1">
        <f>MAX(Resume!B9/ 252-Portfolios!B21, 0)</f>
        <v>0</v>
      </c>
    </row>
    <row r="22" spans="1:2">
      <c r="A22" s="11">
        <f>Returns!A22</f>
        <v>0</v>
      </c>
      <c r="B22" s="1">
        <f>MAX(Resume!B9/ 252-Portfolios!B22, 0)</f>
        <v>0</v>
      </c>
    </row>
    <row r="23" spans="1:2">
      <c r="A23" s="11">
        <f>Returns!A23</f>
        <v>0</v>
      </c>
      <c r="B23" s="1">
        <f>MAX(Resume!B9/ 252-Portfolios!B23, 0)</f>
        <v>0</v>
      </c>
    </row>
    <row r="24" spans="1:2">
      <c r="A24" s="11">
        <f>Returns!A24</f>
        <v>0</v>
      </c>
      <c r="B24" s="1">
        <f>MAX(Resume!B9/ 252-Portfolios!B24, 0)</f>
        <v>0</v>
      </c>
    </row>
    <row r="25" spans="1:2">
      <c r="A25" s="11">
        <f>Returns!A25</f>
        <v>0</v>
      </c>
      <c r="B25" s="1">
        <f>MAX(Resume!B9/ 252-Portfolios!B25, 0)</f>
        <v>0</v>
      </c>
    </row>
    <row r="26" spans="1:2">
      <c r="A26" s="11">
        <f>Returns!A26</f>
        <v>0</v>
      </c>
      <c r="B26" s="1">
        <f>MAX(Resume!B9/ 252-Portfolios!B26, 0)</f>
        <v>0</v>
      </c>
    </row>
    <row r="27" spans="1:2">
      <c r="A27" s="11">
        <f>Returns!A27</f>
        <v>0</v>
      </c>
      <c r="B27" s="1">
        <f>MAX(Resume!B9/ 252-Portfolios!B27, 0)</f>
        <v>0</v>
      </c>
    </row>
    <row r="28" spans="1:2">
      <c r="A28" s="11">
        <f>Returns!A28</f>
        <v>0</v>
      </c>
      <c r="B28" s="1">
        <f>MAX(Resume!B9/ 252-Portfolios!B28, 0)</f>
        <v>0</v>
      </c>
    </row>
    <row r="29" spans="1:2">
      <c r="A29" s="11">
        <f>Returns!A29</f>
        <v>0</v>
      </c>
      <c r="B29" s="1">
        <f>MAX(Resume!B9/ 252-Portfolios!B29, 0)</f>
        <v>0</v>
      </c>
    </row>
    <row r="30" spans="1:2">
      <c r="A30" s="11">
        <f>Returns!A30</f>
        <v>0</v>
      </c>
      <c r="B30" s="1">
        <f>MAX(Resume!B9/ 252-Portfolios!B30, 0)</f>
        <v>0</v>
      </c>
    </row>
    <row r="31" spans="1:2">
      <c r="A31" s="11">
        <f>Returns!A31</f>
        <v>0</v>
      </c>
      <c r="B31" s="1">
        <f>MAX(Resume!B9/ 252-Portfolios!B31, 0)</f>
        <v>0</v>
      </c>
    </row>
    <row r="32" spans="1:2">
      <c r="A32" s="11">
        <f>Returns!A32</f>
        <v>0</v>
      </c>
      <c r="B32" s="1">
        <f>MAX(Resume!B9/ 252-Portfolios!B32, 0)</f>
        <v>0</v>
      </c>
    </row>
    <row r="33" spans="1:2">
      <c r="A33" s="11">
        <f>Returns!A33</f>
        <v>0</v>
      </c>
      <c r="B33" s="1">
        <f>MAX(Resume!B9/ 252-Portfolios!B33, 0)</f>
        <v>0</v>
      </c>
    </row>
    <row r="34" spans="1:2">
      <c r="A34" s="11">
        <f>Returns!A34</f>
        <v>0</v>
      </c>
      <c r="B34" s="1">
        <f>MAX(Resume!B9/ 252-Portfolios!B34, 0)</f>
        <v>0</v>
      </c>
    </row>
    <row r="35" spans="1:2">
      <c r="A35" s="11">
        <f>Returns!A35</f>
        <v>0</v>
      </c>
      <c r="B35" s="1">
        <f>MAX(Resume!B9/ 252-Portfolios!B35, 0)</f>
        <v>0</v>
      </c>
    </row>
    <row r="36" spans="1:2">
      <c r="A36" s="11">
        <f>Returns!A36</f>
        <v>0</v>
      </c>
      <c r="B36" s="1">
        <f>MAX(Resume!B9/ 252-Portfolios!B36, 0)</f>
        <v>0</v>
      </c>
    </row>
    <row r="37" spans="1:2">
      <c r="A37" s="11">
        <f>Returns!A37</f>
        <v>0</v>
      </c>
      <c r="B37" s="1">
        <f>MAX(Resume!B9/ 252-Portfolios!B37, 0)</f>
        <v>0</v>
      </c>
    </row>
    <row r="38" spans="1:2">
      <c r="A38" s="11">
        <f>Returns!A38</f>
        <v>0</v>
      </c>
      <c r="B38" s="1">
        <f>MAX(Resume!B9/ 252-Portfolios!B38, 0)</f>
        <v>0</v>
      </c>
    </row>
    <row r="39" spans="1:2">
      <c r="A39" s="11">
        <f>Returns!A39</f>
        <v>0</v>
      </c>
      <c r="B39" s="1">
        <f>MAX(Resume!B9/ 252-Portfolios!B39, 0)</f>
        <v>0</v>
      </c>
    </row>
    <row r="40" spans="1:2">
      <c r="A40" s="11">
        <f>Returns!A40</f>
        <v>0</v>
      </c>
      <c r="B40" s="1">
        <f>MAX(Resume!B9/ 252-Portfolios!B40, 0)</f>
        <v>0</v>
      </c>
    </row>
    <row r="41" spans="1:2">
      <c r="A41" s="11">
        <f>Returns!A41</f>
        <v>0</v>
      </c>
      <c r="B41" s="1">
        <f>MAX(Resume!B9/ 252-Portfolios!B41, 0)</f>
        <v>0</v>
      </c>
    </row>
    <row r="42" spans="1:2">
      <c r="A42" s="11">
        <f>Returns!A42</f>
        <v>0</v>
      </c>
      <c r="B42" s="1">
        <f>MAX(Resume!B9/ 252-Portfolios!B42, 0)</f>
        <v>0</v>
      </c>
    </row>
    <row r="43" spans="1:2">
      <c r="A43" s="11">
        <f>Returns!A43</f>
        <v>0</v>
      </c>
      <c r="B43" s="1">
        <f>MAX(Resume!B9/ 252-Portfolios!B43, 0)</f>
        <v>0</v>
      </c>
    </row>
    <row r="44" spans="1:2">
      <c r="A44" s="11">
        <f>Returns!A44</f>
        <v>0</v>
      </c>
      <c r="B44" s="1">
        <f>MAX(Resume!B9/ 252-Portfolios!B44, 0)</f>
        <v>0</v>
      </c>
    </row>
    <row r="45" spans="1:2">
      <c r="A45" s="11">
        <f>Returns!A45</f>
        <v>0</v>
      </c>
      <c r="B45" s="1">
        <f>MAX(Resume!B9/ 252-Portfolios!B45, 0)</f>
        <v>0</v>
      </c>
    </row>
    <row r="46" spans="1:2">
      <c r="A46" s="11">
        <f>Returns!A46</f>
        <v>0</v>
      </c>
      <c r="B46" s="1">
        <f>MAX(Resume!B9/ 252-Portfolios!B46, 0)</f>
        <v>0</v>
      </c>
    </row>
    <row r="47" spans="1:2">
      <c r="A47" s="11">
        <f>Returns!A47</f>
        <v>0</v>
      </c>
      <c r="B47" s="1">
        <f>MAX(Resume!B9/ 252-Portfolios!B47, 0)</f>
        <v>0</v>
      </c>
    </row>
    <row r="48" spans="1:2">
      <c r="A48" s="11">
        <f>Returns!A48</f>
        <v>0</v>
      </c>
      <c r="B48" s="1">
        <f>MAX(Resume!B9/ 252-Portfolios!B48, 0)</f>
        <v>0</v>
      </c>
    </row>
    <row r="49" spans="1:2">
      <c r="A49" s="11">
        <f>Returns!A49</f>
        <v>0</v>
      </c>
      <c r="B49" s="1">
        <f>MAX(Resume!B9/ 252-Portfolios!B49, 0)</f>
        <v>0</v>
      </c>
    </row>
    <row r="50" spans="1:2">
      <c r="A50" s="11">
        <f>Returns!A50</f>
        <v>0</v>
      </c>
      <c r="B50" s="1">
        <f>MAX(Resume!B9/ 252-Portfolios!B50, 0)</f>
        <v>0</v>
      </c>
    </row>
    <row r="51" spans="1:2">
      <c r="A51" s="11">
        <f>Returns!A51</f>
        <v>0</v>
      </c>
      <c r="B51" s="1">
        <f>MAX(Resume!B9/ 252-Portfolios!B51, 0)</f>
        <v>0</v>
      </c>
    </row>
    <row r="52" spans="1:2">
      <c r="A52" s="11">
        <f>Returns!A52</f>
        <v>0</v>
      </c>
      <c r="B52" s="1">
        <f>MAX(Resume!B9/ 252-Portfolios!B52, 0)</f>
        <v>0</v>
      </c>
    </row>
    <row r="53" spans="1:2">
      <c r="A53" s="11">
        <f>Returns!A53</f>
        <v>0</v>
      </c>
      <c r="B53" s="1">
        <f>MAX(Resume!B9/ 252-Portfolios!B53, 0)</f>
        <v>0</v>
      </c>
    </row>
    <row r="54" spans="1:2">
      <c r="A54" s="11">
        <f>Returns!A54</f>
        <v>0</v>
      </c>
      <c r="B54" s="1">
        <f>MAX(Resume!B9/ 252-Portfolios!B54, 0)</f>
        <v>0</v>
      </c>
    </row>
    <row r="55" spans="1:2">
      <c r="A55" s="11">
        <f>Returns!A55</f>
        <v>0</v>
      </c>
      <c r="B55" s="1">
        <f>MAX(Resume!B9/ 252-Portfolios!B55, 0)</f>
        <v>0</v>
      </c>
    </row>
    <row r="56" spans="1:2">
      <c r="A56" s="11">
        <f>Returns!A56</f>
        <v>0</v>
      </c>
      <c r="B56" s="1">
        <f>MAX(Resume!B9/ 252-Portfolios!B56, 0)</f>
        <v>0</v>
      </c>
    </row>
    <row r="57" spans="1:2">
      <c r="A57" s="11">
        <f>Returns!A57</f>
        <v>0</v>
      </c>
      <c r="B57" s="1">
        <f>MAX(Resume!B9/ 252-Portfolios!B57, 0)</f>
        <v>0</v>
      </c>
    </row>
    <row r="58" spans="1:2">
      <c r="A58" s="11">
        <f>Returns!A58</f>
        <v>0</v>
      </c>
      <c r="B58" s="1">
        <f>MAX(Resume!B9/ 252-Portfolios!B58, 0)</f>
        <v>0</v>
      </c>
    </row>
    <row r="59" spans="1:2">
      <c r="A59" s="11">
        <f>Returns!A59</f>
        <v>0</v>
      </c>
      <c r="B59" s="1">
        <f>MAX(Resume!B9/ 252-Portfolios!B59, 0)</f>
        <v>0</v>
      </c>
    </row>
    <row r="60" spans="1:2">
      <c r="A60" s="11">
        <f>Returns!A60</f>
        <v>0</v>
      </c>
      <c r="B60" s="1">
        <f>MAX(Resume!B9/ 252-Portfolios!B60, 0)</f>
        <v>0</v>
      </c>
    </row>
    <row r="61" spans="1:2">
      <c r="A61" s="11">
        <f>Returns!A61</f>
        <v>0</v>
      </c>
      <c r="B61" s="1">
        <f>MAX(Resume!B9/ 252-Portfolios!B61, 0)</f>
        <v>0</v>
      </c>
    </row>
    <row r="62" spans="1:2">
      <c r="A62" s="11">
        <f>Returns!A62</f>
        <v>0</v>
      </c>
      <c r="B62" s="1">
        <f>MAX(Resume!B9/ 252-Portfolios!B62, 0)</f>
        <v>0</v>
      </c>
    </row>
    <row r="63" spans="1:2">
      <c r="A63" s="11">
        <f>Returns!A63</f>
        <v>0</v>
      </c>
      <c r="B63" s="1">
        <f>MAX(Resume!B9/ 252-Portfolios!B63, 0)</f>
        <v>0</v>
      </c>
    </row>
    <row r="64" spans="1:2">
      <c r="A64" s="11">
        <f>Returns!A64</f>
        <v>0</v>
      </c>
      <c r="B64" s="1">
        <f>MAX(Resume!B9/ 252-Portfolios!B64, 0)</f>
        <v>0</v>
      </c>
    </row>
    <row r="65" spans="1:2">
      <c r="A65" s="11">
        <f>Returns!A65</f>
        <v>0</v>
      </c>
      <c r="B65" s="1">
        <f>MAX(Resume!B9/ 252-Portfolios!B65, 0)</f>
        <v>0</v>
      </c>
    </row>
    <row r="66" spans="1:2">
      <c r="A66" s="11">
        <f>Returns!A66</f>
        <v>0</v>
      </c>
      <c r="B66" s="1">
        <f>MAX(Resume!B9/ 252-Portfolios!B66, 0)</f>
        <v>0</v>
      </c>
    </row>
    <row r="67" spans="1:2">
      <c r="A67" s="11">
        <f>Returns!A67</f>
        <v>0</v>
      </c>
      <c r="B67" s="1">
        <f>MAX(Resume!B9/ 252-Portfolios!B67, 0)</f>
        <v>0</v>
      </c>
    </row>
    <row r="68" spans="1:2">
      <c r="A68" s="11">
        <f>Returns!A68</f>
        <v>0</v>
      </c>
      <c r="B68" s="1">
        <f>MAX(Resume!B9/ 252-Portfolios!B68, 0)</f>
        <v>0</v>
      </c>
    </row>
    <row r="69" spans="1:2">
      <c r="A69" s="11">
        <f>Returns!A69</f>
        <v>0</v>
      </c>
      <c r="B69" s="1">
        <f>MAX(Resume!B9/ 252-Portfolios!B69, 0)</f>
        <v>0</v>
      </c>
    </row>
    <row r="70" spans="1:2">
      <c r="A70" s="11">
        <f>Returns!A70</f>
        <v>0</v>
      </c>
      <c r="B70" s="1">
        <f>MAX(Resume!B9/ 252-Portfolios!B70, 0)</f>
        <v>0</v>
      </c>
    </row>
    <row r="71" spans="1:2">
      <c r="A71" s="11">
        <f>Returns!A71</f>
        <v>0</v>
      </c>
      <c r="B71" s="1">
        <f>MAX(Resume!B9/ 252-Portfolios!B71, 0)</f>
        <v>0</v>
      </c>
    </row>
    <row r="72" spans="1:2">
      <c r="A72" s="11">
        <f>Returns!A72</f>
        <v>0</v>
      </c>
      <c r="B72" s="1">
        <f>MAX(Resume!B9/ 252-Portfolios!B72, 0)</f>
        <v>0</v>
      </c>
    </row>
    <row r="73" spans="1:2">
      <c r="A73" s="11">
        <f>Returns!A73</f>
        <v>0</v>
      </c>
      <c r="B73" s="1">
        <f>MAX(Resume!B9/ 252-Portfolios!B73, 0)</f>
        <v>0</v>
      </c>
    </row>
    <row r="74" spans="1:2">
      <c r="A74" s="11">
        <f>Returns!A74</f>
        <v>0</v>
      </c>
      <c r="B74" s="1">
        <f>MAX(Resume!B9/ 252-Portfolios!B74, 0)</f>
        <v>0</v>
      </c>
    </row>
    <row r="75" spans="1:2">
      <c r="A75" s="11">
        <f>Returns!A75</f>
        <v>0</v>
      </c>
      <c r="B75" s="1">
        <f>MAX(Resume!B9/ 252-Portfolios!B75, 0)</f>
        <v>0</v>
      </c>
    </row>
    <row r="76" spans="1:2">
      <c r="A76" s="11">
        <f>Returns!A76</f>
        <v>0</v>
      </c>
      <c r="B76" s="1">
        <f>MAX(Resume!B9/ 252-Portfolios!B76, 0)</f>
        <v>0</v>
      </c>
    </row>
    <row r="77" spans="1:2">
      <c r="A77" s="11">
        <f>Returns!A77</f>
        <v>0</v>
      </c>
      <c r="B77" s="1">
        <f>MAX(Resume!B9/ 252-Portfolios!B77, 0)</f>
        <v>0</v>
      </c>
    </row>
    <row r="78" spans="1:2">
      <c r="A78" s="11">
        <f>Returns!A78</f>
        <v>0</v>
      </c>
      <c r="B78" s="1">
        <f>MAX(Resume!B9/ 252-Portfolios!B78, 0)</f>
        <v>0</v>
      </c>
    </row>
    <row r="79" spans="1:2">
      <c r="A79" s="11">
        <f>Returns!A79</f>
        <v>0</v>
      </c>
      <c r="B79" s="1">
        <f>MAX(Resume!B9/ 252-Portfolios!B79, 0)</f>
        <v>0</v>
      </c>
    </row>
    <row r="80" spans="1:2">
      <c r="A80" s="11">
        <f>Returns!A80</f>
        <v>0</v>
      </c>
      <c r="B80" s="1">
        <f>MAX(Resume!B9/ 252-Portfolios!B80, 0)</f>
        <v>0</v>
      </c>
    </row>
    <row r="81" spans="1:2">
      <c r="A81" s="11">
        <f>Returns!A81</f>
        <v>0</v>
      </c>
      <c r="B81" s="1">
        <f>MAX(Resume!B9/ 252-Portfolios!B81, 0)</f>
        <v>0</v>
      </c>
    </row>
    <row r="82" spans="1:2">
      <c r="A82" s="11">
        <f>Returns!A82</f>
        <v>0</v>
      </c>
      <c r="B82" s="1">
        <f>MAX(Resume!B9/ 252-Portfolios!B82, 0)</f>
        <v>0</v>
      </c>
    </row>
    <row r="83" spans="1:2">
      <c r="A83" s="11">
        <f>Returns!A83</f>
        <v>0</v>
      </c>
      <c r="B83" s="1">
        <f>MAX(Resume!B9/ 252-Portfolios!B83, 0)</f>
        <v>0</v>
      </c>
    </row>
    <row r="84" spans="1:2">
      <c r="A84" s="11">
        <f>Returns!A84</f>
        <v>0</v>
      </c>
      <c r="B84" s="1">
        <f>MAX(Resume!B9/ 252-Portfolios!B84, 0)</f>
        <v>0</v>
      </c>
    </row>
    <row r="85" spans="1:2">
      <c r="A85" s="11">
        <f>Returns!A85</f>
        <v>0</v>
      </c>
      <c r="B85" s="1">
        <f>MAX(Resume!B9/ 252-Portfolios!B85, 0)</f>
        <v>0</v>
      </c>
    </row>
    <row r="86" spans="1:2">
      <c r="A86" s="11">
        <f>Returns!A86</f>
        <v>0</v>
      </c>
      <c r="B86" s="1">
        <f>MAX(Resume!B9/ 252-Portfolios!B86, 0)</f>
        <v>0</v>
      </c>
    </row>
    <row r="87" spans="1:2">
      <c r="A87" s="11">
        <f>Returns!A87</f>
        <v>0</v>
      </c>
      <c r="B87" s="1">
        <f>MAX(Resume!B9/ 252-Portfolios!B87, 0)</f>
        <v>0</v>
      </c>
    </row>
    <row r="88" spans="1:2">
      <c r="A88" s="11">
        <f>Returns!A88</f>
        <v>0</v>
      </c>
      <c r="B88" s="1">
        <f>MAX(Resume!B9/ 252-Portfolios!B88, 0)</f>
        <v>0</v>
      </c>
    </row>
    <row r="89" spans="1:2">
      <c r="A89" s="11">
        <f>Returns!A89</f>
        <v>0</v>
      </c>
      <c r="B89" s="1">
        <f>MAX(Resume!B9/ 252-Portfolios!B89, 0)</f>
        <v>0</v>
      </c>
    </row>
    <row r="90" spans="1:2">
      <c r="A90" s="11">
        <f>Returns!A90</f>
        <v>0</v>
      </c>
      <c r="B90" s="1">
        <f>MAX(Resume!B9/ 252-Portfolios!B90, 0)</f>
        <v>0</v>
      </c>
    </row>
    <row r="91" spans="1:2">
      <c r="A91" s="11">
        <f>Returns!A91</f>
        <v>0</v>
      </c>
      <c r="B91" s="1">
        <f>MAX(Resume!B9/ 252-Portfolios!B91, 0)</f>
        <v>0</v>
      </c>
    </row>
    <row r="92" spans="1:2">
      <c r="A92" s="11">
        <f>Returns!A92</f>
        <v>0</v>
      </c>
      <c r="B92" s="1">
        <f>MAX(Resume!B9/ 252-Portfolios!B92, 0)</f>
        <v>0</v>
      </c>
    </row>
    <row r="93" spans="1:2">
      <c r="A93" s="11">
        <f>Returns!A93</f>
        <v>0</v>
      </c>
      <c r="B93" s="1">
        <f>MAX(Resume!B9/ 252-Portfolios!B93, 0)</f>
        <v>0</v>
      </c>
    </row>
    <row r="94" spans="1:2">
      <c r="A94" s="11">
        <f>Returns!A94</f>
        <v>0</v>
      </c>
      <c r="B94" s="1">
        <f>MAX(Resume!B9/ 252-Portfolios!B94, 0)</f>
        <v>0</v>
      </c>
    </row>
    <row r="95" spans="1:2">
      <c r="A95" s="11">
        <f>Returns!A95</f>
        <v>0</v>
      </c>
      <c r="B95" s="1">
        <f>MAX(Resume!B9/ 252-Portfolios!B95, 0)</f>
        <v>0</v>
      </c>
    </row>
    <row r="96" spans="1:2">
      <c r="A96" s="11">
        <f>Returns!A96</f>
        <v>0</v>
      </c>
      <c r="B96" s="1">
        <f>MAX(Resume!B9/ 252-Portfolios!B96, 0)</f>
        <v>0</v>
      </c>
    </row>
    <row r="97" spans="1:2">
      <c r="A97" s="11">
        <f>Returns!A97</f>
        <v>0</v>
      </c>
      <c r="B97" s="1">
        <f>MAX(Resume!B9/ 252-Portfolios!B97, 0)</f>
        <v>0</v>
      </c>
    </row>
    <row r="98" spans="1:2">
      <c r="A98" s="11">
        <f>Returns!A98</f>
        <v>0</v>
      </c>
      <c r="B98" s="1">
        <f>MAX(Resume!B9/ 252-Portfolios!B98, 0)</f>
        <v>0</v>
      </c>
    </row>
    <row r="99" spans="1:2">
      <c r="A99" s="11">
        <f>Returns!A99</f>
        <v>0</v>
      </c>
      <c r="B99" s="1">
        <f>MAX(Resume!B9/ 252-Portfolios!B99, 0)</f>
        <v>0</v>
      </c>
    </row>
    <row r="100" spans="1:2">
      <c r="A100" s="11">
        <f>Returns!A100</f>
        <v>0</v>
      </c>
      <c r="B100" s="1">
        <f>MAX(Resume!B9/ 252-Portfolios!B100, 0)</f>
        <v>0</v>
      </c>
    </row>
    <row r="101" spans="1:2">
      <c r="A101" s="11">
        <f>Returns!A101</f>
        <v>0</v>
      </c>
      <c r="B101" s="1">
        <f>MAX(Resume!B9/ 252-Portfolios!B101, 0)</f>
        <v>0</v>
      </c>
    </row>
    <row r="102" spans="1:2">
      <c r="A102" s="11">
        <f>Returns!A102</f>
        <v>0</v>
      </c>
      <c r="B102" s="1">
        <f>MAX(Resume!B9/ 252-Portfolios!B102, 0)</f>
        <v>0</v>
      </c>
    </row>
    <row r="103" spans="1:2">
      <c r="A103" s="11">
        <f>Returns!A103</f>
        <v>0</v>
      </c>
      <c r="B103" s="1">
        <f>MAX(Resume!B9/ 252-Portfolios!B103, 0)</f>
        <v>0</v>
      </c>
    </row>
    <row r="104" spans="1:2">
      <c r="A104" s="11">
        <f>Returns!A104</f>
        <v>0</v>
      </c>
      <c r="B104" s="1">
        <f>MAX(Resume!B9/ 252-Portfolios!B104, 0)</f>
        <v>0</v>
      </c>
    </row>
    <row r="105" spans="1:2">
      <c r="A105" s="11">
        <f>Returns!A105</f>
        <v>0</v>
      </c>
      <c r="B105" s="1">
        <f>MAX(Resume!B9/ 252-Portfolios!B105, 0)</f>
        <v>0</v>
      </c>
    </row>
    <row r="106" spans="1:2">
      <c r="A106" s="11">
        <f>Returns!A106</f>
        <v>0</v>
      </c>
      <c r="B106" s="1">
        <f>MAX(Resume!B9/ 252-Portfolios!B106, 0)</f>
        <v>0</v>
      </c>
    </row>
    <row r="107" spans="1:2">
      <c r="A107" s="11">
        <f>Returns!A107</f>
        <v>0</v>
      </c>
      <c r="B107" s="1">
        <f>MAX(Resume!B9/ 252-Portfolios!B107, 0)</f>
        <v>0</v>
      </c>
    </row>
    <row r="108" spans="1:2">
      <c r="A108" s="11">
        <f>Returns!A108</f>
        <v>0</v>
      </c>
      <c r="B108" s="1">
        <f>MAX(Resume!B9/ 252-Portfolios!B108, 0)</f>
        <v>0</v>
      </c>
    </row>
    <row r="109" spans="1:2">
      <c r="A109" s="11">
        <f>Returns!A109</f>
        <v>0</v>
      </c>
      <c r="B109" s="1">
        <f>MAX(Resume!B9/ 252-Portfolios!B109, 0)</f>
        <v>0</v>
      </c>
    </row>
    <row r="110" spans="1:2">
      <c r="A110" s="11">
        <f>Returns!A110</f>
        <v>0</v>
      </c>
      <c r="B110" s="1">
        <f>MAX(Resume!B9/ 252-Portfolios!B110, 0)</f>
        <v>0</v>
      </c>
    </row>
    <row r="111" spans="1:2">
      <c r="A111" s="11">
        <f>Returns!A111</f>
        <v>0</v>
      </c>
      <c r="B111" s="1">
        <f>MAX(Resume!B9/ 252-Portfolios!B111, 0)</f>
        <v>0</v>
      </c>
    </row>
    <row r="112" spans="1:2">
      <c r="A112" s="11">
        <f>Returns!A112</f>
        <v>0</v>
      </c>
      <c r="B112" s="1">
        <f>MAX(Resume!B9/ 252-Portfolios!B112, 0)</f>
        <v>0</v>
      </c>
    </row>
    <row r="113" spans="1:2">
      <c r="A113" s="11">
        <f>Returns!A113</f>
        <v>0</v>
      </c>
      <c r="B113" s="1">
        <f>MAX(Resume!B9/ 252-Portfolios!B113, 0)</f>
        <v>0</v>
      </c>
    </row>
    <row r="114" spans="1:2">
      <c r="A114" s="11">
        <f>Returns!A114</f>
        <v>0</v>
      </c>
      <c r="B114" s="1">
        <f>MAX(Resume!B9/ 252-Portfolios!B114, 0)</f>
        <v>0</v>
      </c>
    </row>
    <row r="115" spans="1:2">
      <c r="A115" s="11">
        <f>Returns!A115</f>
        <v>0</v>
      </c>
      <c r="B115" s="1">
        <f>MAX(Resume!B9/ 252-Portfolios!B115, 0)</f>
        <v>0</v>
      </c>
    </row>
    <row r="116" spans="1:2">
      <c r="A116" s="11">
        <f>Returns!A116</f>
        <v>0</v>
      </c>
      <c r="B116" s="1">
        <f>MAX(Resume!B9/ 252-Portfolios!B116, 0)</f>
        <v>0</v>
      </c>
    </row>
    <row r="117" spans="1:2">
      <c r="A117" s="11">
        <f>Returns!A117</f>
        <v>0</v>
      </c>
      <c r="B117" s="1">
        <f>MAX(Resume!B9/ 252-Portfolios!B117, 0)</f>
        <v>0</v>
      </c>
    </row>
    <row r="118" spans="1:2">
      <c r="A118" s="11">
        <f>Returns!A118</f>
        <v>0</v>
      </c>
      <c r="B118" s="1">
        <f>MAX(Resume!B9/ 252-Portfolios!B118, 0)</f>
        <v>0</v>
      </c>
    </row>
    <row r="119" spans="1:2">
      <c r="A119" s="11">
        <f>Returns!A119</f>
        <v>0</v>
      </c>
      <c r="B119" s="1">
        <f>MAX(Resume!B9/ 252-Portfolios!B119, 0)</f>
        <v>0</v>
      </c>
    </row>
    <row r="120" spans="1:2">
      <c r="A120" s="11">
        <f>Returns!A120</f>
        <v>0</v>
      </c>
      <c r="B120" s="1">
        <f>MAX(Resume!B9/ 252-Portfolios!B120, 0)</f>
        <v>0</v>
      </c>
    </row>
    <row r="121" spans="1:2">
      <c r="A121" s="11">
        <f>Returns!A121</f>
        <v>0</v>
      </c>
      <c r="B121" s="1">
        <f>MAX(Resume!B9/ 252-Portfolios!B121, 0)</f>
        <v>0</v>
      </c>
    </row>
    <row r="122" spans="1:2">
      <c r="A122" s="11">
        <f>Returns!A122</f>
        <v>0</v>
      </c>
      <c r="B122" s="1">
        <f>MAX(Resume!B9/ 252-Portfolios!B122, 0)</f>
        <v>0</v>
      </c>
    </row>
    <row r="123" spans="1:2">
      <c r="A123" s="11">
        <f>Returns!A123</f>
        <v>0</v>
      </c>
      <c r="B123" s="1">
        <f>MAX(Resume!B9/ 252-Portfolios!B123, 0)</f>
        <v>0</v>
      </c>
    </row>
    <row r="124" spans="1:2">
      <c r="A124" s="11">
        <f>Returns!A124</f>
        <v>0</v>
      </c>
      <c r="B124" s="1">
        <f>MAX(Resume!B9/ 252-Portfolios!B124, 0)</f>
        <v>0</v>
      </c>
    </row>
    <row r="125" spans="1:2">
      <c r="A125" s="11">
        <f>Returns!A125</f>
        <v>0</v>
      </c>
      <c r="B125" s="1">
        <f>MAX(Resume!B9/ 252-Portfolios!B125, 0)</f>
        <v>0</v>
      </c>
    </row>
    <row r="126" spans="1:2">
      <c r="A126" s="11">
        <f>Returns!A126</f>
        <v>0</v>
      </c>
      <c r="B126" s="1">
        <f>MAX(Resume!B9/ 252-Portfolios!B126, 0)</f>
        <v>0</v>
      </c>
    </row>
    <row r="127" spans="1:2">
      <c r="A127" s="11">
        <f>Returns!A127</f>
        <v>0</v>
      </c>
      <c r="B127" s="1">
        <f>MAX(Resume!B9/ 252-Portfolios!B127, 0)</f>
        <v>0</v>
      </c>
    </row>
    <row r="128" spans="1:2">
      <c r="A128" s="11">
        <f>Returns!A128</f>
        <v>0</v>
      </c>
      <c r="B128" s="1">
        <f>MAX(Resume!B9/ 252-Portfolios!B128, 0)</f>
        <v>0</v>
      </c>
    </row>
    <row r="129" spans="1:2">
      <c r="A129" s="11">
        <f>Returns!A129</f>
        <v>0</v>
      </c>
      <c r="B129" s="1">
        <f>MAX(Resume!B9/ 252-Portfolios!B129, 0)</f>
        <v>0</v>
      </c>
    </row>
    <row r="130" spans="1:2">
      <c r="A130" s="11">
        <f>Returns!A130</f>
        <v>0</v>
      </c>
      <c r="B130" s="1">
        <f>MAX(Resume!B9/ 252-Portfolios!B130, 0)</f>
        <v>0</v>
      </c>
    </row>
    <row r="131" spans="1:2">
      <c r="A131" s="11">
        <f>Returns!A131</f>
        <v>0</v>
      </c>
      <c r="B131" s="1">
        <f>MAX(Resume!B9/ 252-Portfolios!B131, 0)</f>
        <v>0</v>
      </c>
    </row>
    <row r="132" spans="1:2">
      <c r="A132" s="11">
        <f>Returns!A132</f>
        <v>0</v>
      </c>
      <c r="B132" s="1">
        <f>MAX(Resume!B9/ 252-Portfolios!B132, 0)</f>
        <v>0</v>
      </c>
    </row>
    <row r="133" spans="1:2">
      <c r="A133" s="11">
        <f>Returns!A133</f>
        <v>0</v>
      </c>
      <c r="B133" s="1">
        <f>MAX(Resume!B9/ 252-Portfolios!B133, 0)</f>
        <v>0</v>
      </c>
    </row>
    <row r="134" spans="1:2">
      <c r="A134" s="11">
        <f>Returns!A134</f>
        <v>0</v>
      </c>
      <c r="B134" s="1">
        <f>MAX(Resume!B9/ 252-Portfolios!B134, 0)</f>
        <v>0</v>
      </c>
    </row>
    <row r="135" spans="1:2">
      <c r="A135" s="11">
        <f>Returns!A135</f>
        <v>0</v>
      </c>
      <c r="B135" s="1">
        <f>MAX(Resume!B9/ 252-Portfolios!B135, 0)</f>
        <v>0</v>
      </c>
    </row>
    <row r="136" spans="1:2">
      <c r="A136" s="11">
        <f>Returns!A136</f>
        <v>0</v>
      </c>
      <c r="B136" s="1">
        <f>MAX(Resume!B9/ 252-Portfolios!B136, 0)</f>
        <v>0</v>
      </c>
    </row>
    <row r="137" spans="1:2">
      <c r="A137" s="11">
        <f>Returns!A137</f>
        <v>0</v>
      </c>
      <c r="B137" s="1">
        <f>MAX(Resume!B9/ 252-Portfolios!B137, 0)</f>
        <v>0</v>
      </c>
    </row>
    <row r="138" spans="1:2">
      <c r="A138" s="11">
        <f>Returns!A138</f>
        <v>0</v>
      </c>
      <c r="B138" s="1">
        <f>MAX(Resume!B9/ 252-Portfolios!B138, 0)</f>
        <v>0</v>
      </c>
    </row>
    <row r="139" spans="1:2">
      <c r="A139" s="11">
        <f>Returns!A139</f>
        <v>0</v>
      </c>
      <c r="B139" s="1">
        <f>MAX(Resume!B9/ 252-Portfolios!B139, 0)</f>
        <v>0</v>
      </c>
    </row>
    <row r="140" spans="1:2">
      <c r="A140" s="11">
        <f>Returns!A140</f>
        <v>0</v>
      </c>
      <c r="B140" s="1">
        <f>MAX(Resume!B9/ 252-Portfolios!B140, 0)</f>
        <v>0</v>
      </c>
    </row>
    <row r="141" spans="1:2">
      <c r="A141" s="11">
        <f>Returns!A141</f>
        <v>0</v>
      </c>
      <c r="B141" s="1">
        <f>MAX(Resume!B9/ 252-Portfolios!B141, 0)</f>
        <v>0</v>
      </c>
    </row>
    <row r="142" spans="1:2">
      <c r="A142" s="11">
        <f>Returns!A142</f>
        <v>0</v>
      </c>
      <c r="B142" s="1">
        <f>MAX(Resume!B9/ 252-Portfolios!B142, 0)</f>
        <v>0</v>
      </c>
    </row>
    <row r="143" spans="1:2">
      <c r="A143" s="11">
        <f>Returns!A143</f>
        <v>0</v>
      </c>
      <c r="B143" s="1">
        <f>MAX(Resume!B9/ 252-Portfolios!B143, 0)</f>
        <v>0</v>
      </c>
    </row>
    <row r="144" spans="1:2">
      <c r="A144" s="11">
        <f>Returns!A144</f>
        <v>0</v>
      </c>
      <c r="B144" s="1">
        <f>MAX(Resume!B9/ 252-Portfolios!B144, 0)</f>
        <v>0</v>
      </c>
    </row>
    <row r="145" spans="1:2">
      <c r="A145" s="11">
        <f>Returns!A145</f>
        <v>0</v>
      </c>
      <c r="B145" s="1">
        <f>MAX(Resume!B9/ 252-Portfolios!B145, 0)</f>
        <v>0</v>
      </c>
    </row>
    <row r="146" spans="1:2">
      <c r="A146" s="11">
        <f>Returns!A146</f>
        <v>0</v>
      </c>
      <c r="B146" s="1">
        <f>MAX(Resume!B9/ 252-Portfolios!B146, 0)</f>
        <v>0</v>
      </c>
    </row>
    <row r="147" spans="1:2">
      <c r="A147" s="11">
        <f>Returns!A147</f>
        <v>0</v>
      </c>
      <c r="B147" s="1">
        <f>MAX(Resume!B9/ 252-Portfolios!B147, 0)</f>
        <v>0</v>
      </c>
    </row>
    <row r="148" spans="1:2">
      <c r="A148" s="11">
        <f>Returns!A148</f>
        <v>0</v>
      </c>
      <c r="B148" s="1">
        <f>MAX(Resume!B9/ 252-Portfolios!B148, 0)</f>
        <v>0</v>
      </c>
    </row>
    <row r="149" spans="1:2">
      <c r="A149" s="11">
        <f>Returns!A149</f>
        <v>0</v>
      </c>
      <c r="B149" s="1">
        <f>MAX(Resume!B9/ 252-Portfolios!B149, 0)</f>
        <v>0</v>
      </c>
    </row>
    <row r="150" spans="1:2">
      <c r="A150" s="11">
        <f>Returns!A150</f>
        <v>0</v>
      </c>
      <c r="B150" s="1">
        <f>MAX(Resume!B9/ 252-Portfolios!B150, 0)</f>
        <v>0</v>
      </c>
    </row>
    <row r="151" spans="1:2">
      <c r="A151" s="11">
        <f>Returns!A151</f>
        <v>0</v>
      </c>
      <c r="B151" s="1">
        <f>MAX(Resume!B9/ 252-Portfolios!B151, 0)</f>
        <v>0</v>
      </c>
    </row>
    <row r="152" spans="1:2">
      <c r="A152" s="11">
        <f>Returns!A152</f>
        <v>0</v>
      </c>
      <c r="B152" s="1">
        <f>MAX(Resume!B9/ 252-Portfolios!B152, 0)</f>
        <v>0</v>
      </c>
    </row>
    <row r="153" spans="1:2">
      <c r="A153" s="11">
        <f>Returns!A153</f>
        <v>0</v>
      </c>
      <c r="B153" s="1">
        <f>MAX(Resume!B9/ 252-Portfolios!B153, 0)</f>
        <v>0</v>
      </c>
    </row>
    <row r="154" spans="1:2">
      <c r="A154" s="11">
        <f>Returns!A154</f>
        <v>0</v>
      </c>
      <c r="B154" s="1">
        <f>MAX(Resume!B9/ 252-Portfolios!B154, 0)</f>
        <v>0</v>
      </c>
    </row>
    <row r="155" spans="1:2">
      <c r="A155" s="11">
        <f>Returns!A155</f>
        <v>0</v>
      </c>
      <c r="B155" s="1">
        <f>MAX(Resume!B9/ 252-Portfolios!B155, 0)</f>
        <v>0</v>
      </c>
    </row>
    <row r="156" spans="1:2">
      <c r="A156" s="11">
        <f>Returns!A156</f>
        <v>0</v>
      </c>
      <c r="B156" s="1">
        <f>MAX(Resume!B9/ 252-Portfolios!B156, 0)</f>
        <v>0</v>
      </c>
    </row>
    <row r="157" spans="1:2">
      <c r="A157" s="11">
        <f>Returns!A157</f>
        <v>0</v>
      </c>
      <c r="B157" s="1">
        <f>MAX(Resume!B9/ 252-Portfolios!B157, 0)</f>
        <v>0</v>
      </c>
    </row>
    <row r="158" spans="1:2">
      <c r="A158" s="11">
        <f>Returns!A158</f>
        <v>0</v>
      </c>
      <c r="B158" s="1">
        <f>MAX(Resume!B9/ 252-Portfolios!B158, 0)</f>
        <v>0</v>
      </c>
    </row>
    <row r="159" spans="1:2">
      <c r="A159" s="11">
        <f>Returns!A159</f>
        <v>0</v>
      </c>
      <c r="B159" s="1">
        <f>MAX(Resume!B9/ 252-Portfolios!B159, 0)</f>
        <v>0</v>
      </c>
    </row>
    <row r="160" spans="1:2">
      <c r="A160" s="11">
        <f>Returns!A160</f>
        <v>0</v>
      </c>
      <c r="B160" s="1">
        <f>MAX(Resume!B9/ 252-Portfolios!B160, 0)</f>
        <v>0</v>
      </c>
    </row>
    <row r="161" spans="1:2">
      <c r="A161" s="11">
        <f>Returns!A161</f>
        <v>0</v>
      </c>
      <c r="B161" s="1">
        <f>MAX(Resume!B9/ 252-Portfolios!B161, 0)</f>
        <v>0</v>
      </c>
    </row>
    <row r="162" spans="1:2">
      <c r="A162" s="11">
        <f>Returns!A162</f>
        <v>0</v>
      </c>
      <c r="B162" s="1">
        <f>MAX(Resume!B9/ 252-Portfolios!B162, 0)</f>
        <v>0</v>
      </c>
    </row>
    <row r="163" spans="1:2">
      <c r="A163" s="11">
        <f>Returns!A163</f>
        <v>0</v>
      </c>
      <c r="B163" s="1">
        <f>MAX(Resume!B9/ 252-Portfolios!B163, 0)</f>
        <v>0</v>
      </c>
    </row>
    <row r="164" spans="1:2">
      <c r="A164" s="11">
        <f>Returns!A164</f>
        <v>0</v>
      </c>
      <c r="B164" s="1">
        <f>MAX(Resume!B9/ 252-Portfolios!B164, 0)</f>
        <v>0</v>
      </c>
    </row>
    <row r="165" spans="1:2">
      <c r="A165" s="11">
        <f>Returns!A165</f>
        <v>0</v>
      </c>
      <c r="B165" s="1">
        <f>MAX(Resume!B9/ 252-Portfolios!B165, 0)</f>
        <v>0</v>
      </c>
    </row>
    <row r="166" spans="1:2">
      <c r="A166" s="11">
        <f>Returns!A166</f>
        <v>0</v>
      </c>
      <c r="B166" s="1">
        <f>MAX(Resume!B9/ 252-Portfolios!B166, 0)</f>
        <v>0</v>
      </c>
    </row>
    <row r="167" spans="1:2">
      <c r="A167" s="11">
        <f>Returns!A167</f>
        <v>0</v>
      </c>
      <c r="B167" s="1">
        <f>MAX(Resume!B9/ 252-Portfolios!B167, 0)</f>
        <v>0</v>
      </c>
    </row>
    <row r="168" spans="1:2">
      <c r="A168" s="11">
        <f>Returns!A168</f>
        <v>0</v>
      </c>
      <c r="B168" s="1">
        <f>MAX(Resume!B9/ 252-Portfolios!B168, 0)</f>
        <v>0</v>
      </c>
    </row>
    <row r="169" spans="1:2">
      <c r="A169" s="11">
        <f>Returns!A169</f>
        <v>0</v>
      </c>
      <c r="B169" s="1">
        <f>MAX(Resume!B9/ 252-Portfolios!B169, 0)</f>
        <v>0</v>
      </c>
    </row>
    <row r="170" spans="1:2">
      <c r="A170" s="11">
        <f>Returns!A170</f>
        <v>0</v>
      </c>
      <c r="B170" s="1">
        <f>MAX(Resume!B9/ 252-Portfolios!B170, 0)</f>
        <v>0</v>
      </c>
    </row>
    <row r="171" spans="1:2">
      <c r="A171" s="11">
        <f>Returns!A171</f>
        <v>0</v>
      </c>
      <c r="B171" s="1">
        <f>MAX(Resume!B9/ 252-Portfolios!B171, 0)</f>
        <v>0</v>
      </c>
    </row>
    <row r="172" spans="1:2">
      <c r="A172" s="11">
        <f>Returns!A172</f>
        <v>0</v>
      </c>
      <c r="B172" s="1">
        <f>MAX(Resume!B9/ 252-Portfolios!B172, 0)</f>
        <v>0</v>
      </c>
    </row>
    <row r="173" spans="1:2">
      <c r="A173" s="11">
        <f>Returns!A173</f>
        <v>0</v>
      </c>
      <c r="B173" s="1">
        <f>MAX(Resume!B9/ 252-Portfolios!B173, 0)</f>
        <v>0</v>
      </c>
    </row>
    <row r="174" spans="1:2">
      <c r="A174" s="11">
        <f>Returns!A174</f>
        <v>0</v>
      </c>
      <c r="B174" s="1">
        <f>MAX(Resume!B9/ 252-Portfolios!B174, 0)</f>
        <v>0</v>
      </c>
    </row>
    <row r="175" spans="1:2">
      <c r="A175" s="11">
        <f>Returns!A175</f>
        <v>0</v>
      </c>
      <c r="B175" s="1">
        <f>MAX(Resume!B9/ 252-Portfolios!B175, 0)</f>
        <v>0</v>
      </c>
    </row>
    <row r="176" spans="1:2">
      <c r="A176" s="11">
        <f>Returns!A176</f>
        <v>0</v>
      </c>
      <c r="B176" s="1">
        <f>MAX(Resume!B9/ 252-Portfolios!B176, 0)</f>
        <v>0</v>
      </c>
    </row>
    <row r="177" spans="1:2">
      <c r="A177" s="11">
        <f>Returns!A177</f>
        <v>0</v>
      </c>
      <c r="B177" s="1">
        <f>MAX(Resume!B9/ 252-Portfolios!B177, 0)</f>
        <v>0</v>
      </c>
    </row>
    <row r="178" spans="1:2">
      <c r="A178" s="11">
        <f>Returns!A178</f>
        <v>0</v>
      </c>
      <c r="B178" s="1">
        <f>MAX(Resume!B9/ 252-Portfolios!B178, 0)</f>
        <v>0</v>
      </c>
    </row>
    <row r="179" spans="1:2">
      <c r="A179" s="11">
        <f>Returns!A179</f>
        <v>0</v>
      </c>
      <c r="B179" s="1">
        <f>MAX(Resume!B9/ 252-Portfolios!B179, 0)</f>
        <v>0</v>
      </c>
    </row>
    <row r="180" spans="1:2">
      <c r="A180" s="11">
        <f>Returns!A180</f>
        <v>0</v>
      </c>
      <c r="B180" s="1">
        <f>MAX(Resume!B9/ 252-Portfolios!B180, 0)</f>
        <v>0</v>
      </c>
    </row>
    <row r="181" spans="1:2">
      <c r="A181" s="11">
        <f>Returns!A181</f>
        <v>0</v>
      </c>
      <c r="B181" s="1">
        <f>MAX(Resume!B9/ 252-Portfolios!B181, 0)</f>
        <v>0</v>
      </c>
    </row>
    <row r="182" spans="1:2">
      <c r="A182" s="11">
        <f>Returns!A182</f>
        <v>0</v>
      </c>
      <c r="B182" s="1">
        <f>MAX(Resume!B9/ 252-Portfolios!B182, 0)</f>
        <v>0</v>
      </c>
    </row>
    <row r="183" spans="1:2">
      <c r="A183" s="11">
        <f>Returns!A183</f>
        <v>0</v>
      </c>
      <c r="B183" s="1">
        <f>MAX(Resume!B9/ 252-Portfolios!B183, 0)</f>
        <v>0</v>
      </c>
    </row>
    <row r="184" spans="1:2">
      <c r="A184" s="11">
        <f>Returns!A184</f>
        <v>0</v>
      </c>
      <c r="B184" s="1">
        <f>MAX(Resume!B9/ 252-Portfolios!B184, 0)</f>
        <v>0</v>
      </c>
    </row>
    <row r="185" spans="1:2">
      <c r="A185" s="11">
        <f>Returns!A185</f>
        <v>0</v>
      </c>
      <c r="B185" s="1">
        <f>MAX(Resume!B9/ 252-Portfolios!B185, 0)</f>
        <v>0</v>
      </c>
    </row>
    <row r="186" spans="1:2">
      <c r="A186" s="11">
        <f>Returns!A186</f>
        <v>0</v>
      </c>
      <c r="B186" s="1">
        <f>MAX(Resume!B9/ 252-Portfolios!B186, 0)</f>
        <v>0</v>
      </c>
    </row>
    <row r="187" spans="1:2">
      <c r="A187" s="11">
        <f>Returns!A187</f>
        <v>0</v>
      </c>
      <c r="B187" s="1">
        <f>MAX(Resume!B9/ 252-Portfolios!B187, 0)</f>
        <v>0</v>
      </c>
    </row>
    <row r="188" spans="1:2">
      <c r="A188" s="11">
        <f>Returns!A188</f>
        <v>0</v>
      </c>
      <c r="B188" s="1">
        <f>MAX(Resume!B9/ 252-Portfolios!B188, 0)</f>
        <v>0</v>
      </c>
    </row>
    <row r="189" spans="1:2">
      <c r="A189" s="11">
        <f>Returns!A189</f>
        <v>0</v>
      </c>
      <c r="B189" s="1">
        <f>MAX(Resume!B9/ 252-Portfolios!B189, 0)</f>
        <v>0</v>
      </c>
    </row>
    <row r="190" spans="1:2">
      <c r="A190" s="11">
        <f>Returns!A190</f>
        <v>0</v>
      </c>
      <c r="B190" s="1">
        <f>MAX(Resume!B9/ 252-Portfolios!B190, 0)</f>
        <v>0</v>
      </c>
    </row>
    <row r="191" spans="1:2">
      <c r="A191" s="11">
        <f>Returns!A191</f>
        <v>0</v>
      </c>
      <c r="B191" s="1">
        <f>MAX(Resume!B9/ 252-Portfolios!B191, 0)</f>
        <v>0</v>
      </c>
    </row>
    <row r="192" spans="1:2">
      <c r="A192" s="11">
        <f>Returns!A192</f>
        <v>0</v>
      </c>
      <c r="B192" s="1">
        <f>MAX(Resume!B9/ 252-Portfolios!B192, 0)</f>
        <v>0</v>
      </c>
    </row>
    <row r="193" spans="1:2">
      <c r="A193" s="11">
        <f>Returns!A193</f>
        <v>0</v>
      </c>
      <c r="B193" s="1">
        <f>MAX(Resume!B9/ 252-Portfolios!B193, 0)</f>
        <v>0</v>
      </c>
    </row>
    <row r="194" spans="1:2">
      <c r="A194" s="11">
        <f>Returns!A194</f>
        <v>0</v>
      </c>
      <c r="B194" s="1">
        <f>MAX(Resume!B9/ 252-Portfolios!B194, 0)</f>
        <v>0</v>
      </c>
    </row>
    <row r="195" spans="1:2">
      <c r="A195" s="11">
        <f>Returns!A195</f>
        <v>0</v>
      </c>
      <c r="B195" s="1">
        <f>MAX(Resume!B9/ 252-Portfolios!B195, 0)</f>
        <v>0</v>
      </c>
    </row>
    <row r="196" spans="1:2">
      <c r="A196" s="11">
        <f>Returns!A196</f>
        <v>0</v>
      </c>
      <c r="B196" s="1">
        <f>MAX(Resume!B9/ 252-Portfolios!B196, 0)</f>
        <v>0</v>
      </c>
    </row>
    <row r="197" spans="1:2">
      <c r="A197" s="11">
        <f>Returns!A197</f>
        <v>0</v>
      </c>
      <c r="B197" s="1">
        <f>MAX(Resume!B9/ 252-Portfolios!B197, 0)</f>
        <v>0</v>
      </c>
    </row>
    <row r="198" spans="1:2">
      <c r="A198" s="11">
        <f>Returns!A198</f>
        <v>0</v>
      </c>
      <c r="B198" s="1">
        <f>MAX(Resume!B9/ 252-Portfolios!B198, 0)</f>
        <v>0</v>
      </c>
    </row>
    <row r="199" spans="1:2">
      <c r="A199" s="11">
        <f>Returns!A199</f>
        <v>0</v>
      </c>
      <c r="B199" s="1">
        <f>MAX(Resume!B9/ 252-Portfolios!B199, 0)</f>
        <v>0</v>
      </c>
    </row>
    <row r="200" spans="1:2">
      <c r="A200" s="11">
        <f>Returns!A200</f>
        <v>0</v>
      </c>
      <c r="B200" s="1">
        <f>MAX(Resume!B9/ 252-Portfolios!B200, 0)</f>
        <v>0</v>
      </c>
    </row>
    <row r="201" spans="1:2">
      <c r="A201" s="11">
        <f>Returns!A201</f>
        <v>0</v>
      </c>
      <c r="B201" s="1">
        <f>MAX(Resume!B9/ 252-Portfolios!B201, 0)</f>
        <v>0</v>
      </c>
    </row>
    <row r="202" spans="1:2">
      <c r="A202" s="11">
        <f>Returns!A202</f>
        <v>0</v>
      </c>
      <c r="B202" s="1">
        <f>MAX(Resume!B9/ 252-Portfolios!B202, 0)</f>
        <v>0</v>
      </c>
    </row>
    <row r="203" spans="1:2">
      <c r="A203" s="11">
        <f>Returns!A203</f>
        <v>0</v>
      </c>
      <c r="B203" s="1">
        <f>MAX(Resume!B9/ 252-Portfolios!B203, 0)</f>
        <v>0</v>
      </c>
    </row>
    <row r="204" spans="1:2">
      <c r="A204" s="11">
        <f>Returns!A204</f>
        <v>0</v>
      </c>
      <c r="B204" s="1">
        <f>MAX(Resume!B9/ 252-Portfolios!B204, 0)</f>
        <v>0</v>
      </c>
    </row>
    <row r="205" spans="1:2">
      <c r="A205" s="11">
        <f>Returns!A205</f>
        <v>0</v>
      </c>
      <c r="B205" s="1">
        <f>MAX(Resume!B9/ 252-Portfolios!B205, 0)</f>
        <v>0</v>
      </c>
    </row>
    <row r="206" spans="1:2">
      <c r="A206" s="11">
        <f>Returns!A206</f>
        <v>0</v>
      </c>
      <c r="B206" s="1">
        <f>MAX(Resume!B9/ 252-Portfolios!B206, 0)</f>
        <v>0</v>
      </c>
    </row>
    <row r="207" spans="1:2">
      <c r="A207" s="11">
        <f>Returns!A207</f>
        <v>0</v>
      </c>
      <c r="B207" s="1">
        <f>MAX(Resume!B9/ 252-Portfolios!B207, 0)</f>
        <v>0</v>
      </c>
    </row>
    <row r="208" spans="1:2">
      <c r="A208" s="11">
        <f>Returns!A208</f>
        <v>0</v>
      </c>
      <c r="B208" s="1">
        <f>MAX(Resume!B9/ 252-Portfolios!B208, 0)</f>
        <v>0</v>
      </c>
    </row>
    <row r="209" spans="1:2">
      <c r="A209" s="11">
        <f>Returns!A209</f>
        <v>0</v>
      </c>
      <c r="B209" s="1">
        <f>MAX(Resume!B9/ 252-Portfolios!B209, 0)</f>
        <v>0</v>
      </c>
    </row>
    <row r="210" spans="1:2">
      <c r="A210" s="11">
        <f>Returns!A210</f>
        <v>0</v>
      </c>
      <c r="B210" s="1">
        <f>MAX(Resume!B9/ 252-Portfolios!B210, 0)</f>
        <v>0</v>
      </c>
    </row>
    <row r="211" spans="1:2">
      <c r="A211" s="11">
        <f>Returns!A211</f>
        <v>0</v>
      </c>
      <c r="B211" s="1">
        <f>MAX(Resume!B9/ 252-Portfolios!B211, 0)</f>
        <v>0</v>
      </c>
    </row>
    <row r="212" spans="1:2">
      <c r="A212" s="11">
        <f>Returns!A212</f>
        <v>0</v>
      </c>
      <c r="B212" s="1">
        <f>MAX(Resume!B9/ 252-Portfolios!B212, 0)</f>
        <v>0</v>
      </c>
    </row>
    <row r="213" spans="1:2">
      <c r="A213" s="11">
        <f>Returns!A213</f>
        <v>0</v>
      </c>
      <c r="B213" s="1">
        <f>MAX(Resume!B9/ 252-Portfolios!B213, 0)</f>
        <v>0</v>
      </c>
    </row>
    <row r="214" spans="1:2">
      <c r="A214" s="11">
        <f>Returns!A214</f>
        <v>0</v>
      </c>
      <c r="B214" s="1">
        <f>MAX(Resume!B9/ 252-Portfolios!B214, 0)</f>
        <v>0</v>
      </c>
    </row>
    <row r="215" spans="1:2">
      <c r="A215" s="11">
        <f>Returns!A215</f>
        <v>0</v>
      </c>
      <c r="B215" s="1">
        <f>MAX(Resume!B9/ 252-Portfolios!B215, 0)</f>
        <v>0</v>
      </c>
    </row>
    <row r="216" spans="1:2">
      <c r="A216" s="11">
        <f>Returns!A216</f>
        <v>0</v>
      </c>
      <c r="B216" s="1">
        <f>MAX(Resume!B9/ 252-Portfolios!B216, 0)</f>
        <v>0</v>
      </c>
    </row>
    <row r="217" spans="1:2">
      <c r="A217" s="11">
        <f>Returns!A217</f>
        <v>0</v>
      </c>
      <c r="B217" s="1">
        <f>MAX(Resume!B9/ 252-Portfolios!B217, 0)</f>
        <v>0</v>
      </c>
    </row>
    <row r="218" spans="1:2">
      <c r="A218" s="11">
        <f>Returns!A218</f>
        <v>0</v>
      </c>
      <c r="B218" s="1">
        <f>MAX(Resume!B9/ 252-Portfolios!B218, 0)</f>
        <v>0</v>
      </c>
    </row>
    <row r="219" spans="1:2">
      <c r="A219" s="11">
        <f>Returns!A219</f>
        <v>0</v>
      </c>
      <c r="B219" s="1">
        <f>MAX(Resume!B9/ 252-Portfolios!B219, 0)</f>
        <v>0</v>
      </c>
    </row>
    <row r="220" spans="1:2">
      <c r="A220" s="11">
        <f>Returns!A220</f>
        <v>0</v>
      </c>
      <c r="B220" s="1">
        <f>MAX(Resume!B9/ 252-Portfolios!B220, 0)</f>
        <v>0</v>
      </c>
    </row>
    <row r="221" spans="1:2">
      <c r="A221" s="11">
        <f>Returns!A221</f>
        <v>0</v>
      </c>
      <c r="B221" s="1">
        <f>MAX(Resume!B9/ 252-Portfolios!B221, 0)</f>
        <v>0</v>
      </c>
    </row>
    <row r="222" spans="1:2">
      <c r="A222" s="11">
        <f>Returns!A222</f>
        <v>0</v>
      </c>
      <c r="B222" s="1">
        <f>MAX(Resume!B9/ 252-Portfolios!B222, 0)</f>
        <v>0</v>
      </c>
    </row>
    <row r="223" spans="1:2">
      <c r="A223" s="11">
        <f>Returns!A223</f>
        <v>0</v>
      </c>
      <c r="B223" s="1">
        <f>MAX(Resume!B9/ 252-Portfolios!B223, 0)</f>
        <v>0</v>
      </c>
    </row>
    <row r="224" spans="1:2">
      <c r="A224" s="11">
        <f>Returns!A224</f>
        <v>0</v>
      </c>
      <c r="B224" s="1">
        <f>MAX(Resume!B9/ 252-Portfolios!B224, 0)</f>
        <v>0</v>
      </c>
    </row>
    <row r="225" spans="1:2">
      <c r="A225" s="11">
        <f>Returns!A225</f>
        <v>0</v>
      </c>
      <c r="B225" s="1">
        <f>MAX(Resume!B9/ 252-Portfolios!B225, 0)</f>
        <v>0</v>
      </c>
    </row>
    <row r="226" spans="1:2">
      <c r="A226" s="11">
        <f>Returns!A226</f>
        <v>0</v>
      </c>
      <c r="B226" s="1">
        <f>MAX(Resume!B9/ 252-Portfolios!B226, 0)</f>
        <v>0</v>
      </c>
    </row>
    <row r="227" spans="1:2">
      <c r="A227" s="11">
        <f>Returns!A227</f>
        <v>0</v>
      </c>
      <c r="B227" s="1">
        <f>MAX(Resume!B9/ 252-Portfolios!B227, 0)</f>
        <v>0</v>
      </c>
    </row>
    <row r="228" spans="1:2">
      <c r="A228" s="11">
        <f>Returns!A228</f>
        <v>0</v>
      </c>
      <c r="B228" s="1">
        <f>MAX(Resume!B9/ 252-Portfolios!B228, 0)</f>
        <v>0</v>
      </c>
    </row>
    <row r="229" spans="1:2">
      <c r="A229" s="11">
        <f>Returns!A229</f>
        <v>0</v>
      </c>
      <c r="B229" s="1">
        <f>MAX(Resume!B9/ 252-Portfolios!B229, 0)</f>
        <v>0</v>
      </c>
    </row>
    <row r="230" spans="1:2">
      <c r="A230" s="11">
        <f>Returns!A230</f>
        <v>0</v>
      </c>
      <c r="B230" s="1">
        <f>MAX(Resume!B9/ 252-Portfolios!B230, 0)</f>
        <v>0</v>
      </c>
    </row>
    <row r="231" spans="1:2">
      <c r="A231" s="11">
        <f>Returns!A231</f>
        <v>0</v>
      </c>
      <c r="B231" s="1">
        <f>MAX(Resume!B9/ 252-Portfolios!B231, 0)</f>
        <v>0</v>
      </c>
    </row>
    <row r="232" spans="1:2">
      <c r="A232" s="11">
        <f>Returns!A232</f>
        <v>0</v>
      </c>
      <c r="B232" s="1">
        <f>MAX(Resume!B9/ 252-Portfolios!B232, 0)</f>
        <v>0</v>
      </c>
    </row>
    <row r="233" spans="1:2">
      <c r="A233" s="11">
        <f>Returns!A233</f>
        <v>0</v>
      </c>
      <c r="B233" s="1">
        <f>MAX(Resume!B9/ 252-Portfolios!B233, 0)</f>
        <v>0</v>
      </c>
    </row>
    <row r="234" spans="1:2">
      <c r="A234" s="11">
        <f>Returns!A234</f>
        <v>0</v>
      </c>
      <c r="B234" s="1">
        <f>MAX(Resume!B9/ 252-Portfolios!B234, 0)</f>
        <v>0</v>
      </c>
    </row>
    <row r="235" spans="1:2">
      <c r="A235" s="11">
        <f>Returns!A235</f>
        <v>0</v>
      </c>
      <c r="B235" s="1">
        <f>MAX(Resume!B9/ 252-Portfolios!B235, 0)</f>
        <v>0</v>
      </c>
    </row>
    <row r="236" spans="1:2">
      <c r="A236" s="11">
        <f>Returns!A236</f>
        <v>0</v>
      </c>
      <c r="B236" s="1">
        <f>MAX(Resume!B9/ 252-Portfolios!B236, 0)</f>
        <v>0</v>
      </c>
    </row>
    <row r="237" spans="1:2">
      <c r="A237" s="11">
        <f>Returns!A237</f>
        <v>0</v>
      </c>
      <c r="B237" s="1">
        <f>MAX(Resume!B9/ 252-Portfolios!B237, 0)</f>
        <v>0</v>
      </c>
    </row>
    <row r="238" spans="1:2">
      <c r="A238" s="11">
        <f>Returns!A238</f>
        <v>0</v>
      </c>
      <c r="B238" s="1">
        <f>MAX(Resume!B9/ 252-Portfolios!B238, 0)</f>
        <v>0</v>
      </c>
    </row>
    <row r="239" spans="1:2">
      <c r="A239" s="11">
        <f>Returns!A239</f>
        <v>0</v>
      </c>
      <c r="B239" s="1">
        <f>MAX(Resume!B9/ 252-Portfolios!B239, 0)</f>
        <v>0</v>
      </c>
    </row>
    <row r="240" spans="1:2">
      <c r="A240" s="11">
        <f>Returns!A240</f>
        <v>0</v>
      </c>
      <c r="B240" s="1">
        <f>MAX(Resume!B9/ 252-Portfolios!B240, 0)</f>
        <v>0</v>
      </c>
    </row>
    <row r="241" spans="1:2">
      <c r="A241" s="11">
        <f>Returns!A241</f>
        <v>0</v>
      </c>
      <c r="B241" s="1">
        <f>MAX(Resume!B9/ 252-Portfolios!B241, 0)</f>
        <v>0</v>
      </c>
    </row>
    <row r="242" spans="1:2">
      <c r="A242" s="11">
        <f>Returns!A242</f>
        <v>0</v>
      </c>
      <c r="B242" s="1">
        <f>MAX(Resume!B9/ 252-Portfolios!B242, 0)</f>
        <v>0</v>
      </c>
    </row>
    <row r="243" spans="1:2">
      <c r="A243" s="11">
        <f>Returns!A243</f>
        <v>0</v>
      </c>
      <c r="B243" s="1">
        <f>MAX(Resume!B9/ 252-Portfolios!B243, 0)</f>
        <v>0</v>
      </c>
    </row>
    <row r="244" spans="1:2">
      <c r="A244" s="11">
        <f>Returns!A244</f>
        <v>0</v>
      </c>
      <c r="B244" s="1">
        <f>MAX(Resume!B9/ 252-Portfolios!B244, 0)</f>
        <v>0</v>
      </c>
    </row>
    <row r="245" spans="1:2">
      <c r="A245" s="11">
        <f>Returns!A245</f>
        <v>0</v>
      </c>
      <c r="B245" s="1">
        <f>MAX(Resume!B9/ 252-Portfolios!B245, 0)</f>
        <v>0</v>
      </c>
    </row>
    <row r="246" spans="1:2">
      <c r="A246" s="11">
        <f>Returns!A246</f>
        <v>0</v>
      </c>
      <c r="B246" s="1">
        <f>MAX(Resume!B9/ 252-Portfolios!B246, 0)</f>
        <v>0</v>
      </c>
    </row>
    <row r="247" spans="1:2">
      <c r="A247" s="11">
        <f>Returns!A247</f>
        <v>0</v>
      </c>
      <c r="B247" s="1">
        <f>MAX(Resume!B9/ 252-Portfolios!B247, 0)</f>
        <v>0</v>
      </c>
    </row>
    <row r="248" spans="1:2">
      <c r="A248" s="11">
        <f>Returns!A248</f>
        <v>0</v>
      </c>
      <c r="B248" s="1">
        <f>MAX(Resume!B9/ 252-Portfolios!B248, 0)</f>
        <v>0</v>
      </c>
    </row>
    <row r="249" spans="1:2">
      <c r="A249" s="11">
        <f>Returns!A249</f>
        <v>0</v>
      </c>
      <c r="B249" s="1">
        <f>MAX(Resume!B9/ 252-Portfolios!B249, 0)</f>
        <v>0</v>
      </c>
    </row>
    <row r="250" spans="1:2">
      <c r="A250" s="11">
        <f>Returns!A250</f>
        <v>0</v>
      </c>
      <c r="B250" s="1">
        <f>MAX(Resume!B9/ 252-Portfolios!B250, 0)</f>
        <v>0</v>
      </c>
    </row>
    <row r="251" spans="1:2">
      <c r="A251" s="11">
        <f>Returns!A251</f>
        <v>0</v>
      </c>
      <c r="B251" s="1">
        <f>MAX(Resume!B9/ 252-Portfolios!B251, 0)</f>
        <v>0</v>
      </c>
    </row>
    <row r="252" spans="1:2">
      <c r="A252" s="11">
        <f>Returns!A252</f>
        <v>0</v>
      </c>
      <c r="B252" s="1">
        <f>MAX(Resume!B9/ 252-Portfolios!B252, 0)</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MAX(AVERAGE(Portfolios!$B$2:$B$252)-Portfolios!B2, 0)</f>
        <v>0</v>
      </c>
    </row>
    <row r="3" spans="1:2">
      <c r="A3" s="11">
        <f>Returns!A3</f>
        <v>0</v>
      </c>
      <c r="B3" s="1">
        <f>MAX(AVERAGE(Portfolios!$B$2:$B$252)-Portfolios!B3, 0)</f>
        <v>0</v>
      </c>
    </row>
    <row r="4" spans="1:2">
      <c r="A4" s="11">
        <f>Returns!A4</f>
        <v>0</v>
      </c>
      <c r="B4" s="1">
        <f>MAX(AVERAGE(Portfolios!$B$2:$B$252)-Portfolios!B4, 0)</f>
        <v>0</v>
      </c>
    </row>
    <row r="5" spans="1:2">
      <c r="A5" s="11">
        <f>Returns!A5</f>
        <v>0</v>
      </c>
      <c r="B5" s="1">
        <f>MAX(AVERAGE(Portfolios!$B$2:$B$252)-Portfolios!B5, 0)</f>
        <v>0</v>
      </c>
    </row>
    <row r="6" spans="1:2">
      <c r="A6" s="11">
        <f>Returns!A6</f>
        <v>0</v>
      </c>
      <c r="B6" s="1">
        <f>MAX(AVERAGE(Portfolios!$B$2:$B$252)-Portfolios!B6, 0)</f>
        <v>0</v>
      </c>
    </row>
    <row r="7" spans="1:2">
      <c r="A7" s="11">
        <f>Returns!A7</f>
        <v>0</v>
      </c>
      <c r="B7" s="1">
        <f>MAX(AVERAGE(Portfolios!$B$2:$B$252)-Portfolios!B7, 0)</f>
        <v>0</v>
      </c>
    </row>
    <row r="8" spans="1:2">
      <c r="A8" s="11">
        <f>Returns!A8</f>
        <v>0</v>
      </c>
      <c r="B8" s="1">
        <f>MAX(AVERAGE(Portfolios!$B$2:$B$252)-Portfolios!B8, 0)</f>
        <v>0</v>
      </c>
    </row>
    <row r="9" spans="1:2">
      <c r="A9" s="11">
        <f>Returns!A9</f>
        <v>0</v>
      </c>
      <c r="B9" s="1">
        <f>MAX(AVERAGE(Portfolios!$B$2:$B$252)-Portfolios!B9, 0)</f>
        <v>0</v>
      </c>
    </row>
    <row r="10" spans="1:2">
      <c r="A10" s="11">
        <f>Returns!A10</f>
        <v>0</v>
      </c>
      <c r="B10" s="1">
        <f>MAX(AVERAGE(Portfolios!$B$2:$B$252)-Portfolios!B10, 0)</f>
        <v>0</v>
      </c>
    </row>
    <row r="11" spans="1:2">
      <c r="A11" s="11">
        <f>Returns!A11</f>
        <v>0</v>
      </c>
      <c r="B11" s="1">
        <f>MAX(AVERAGE(Portfolios!$B$2:$B$252)-Portfolios!B11, 0)</f>
        <v>0</v>
      </c>
    </row>
    <row r="12" spans="1:2">
      <c r="A12" s="11">
        <f>Returns!A12</f>
        <v>0</v>
      </c>
      <c r="B12" s="1">
        <f>MAX(AVERAGE(Portfolios!$B$2:$B$252)-Portfolios!B12, 0)</f>
        <v>0</v>
      </c>
    </row>
    <row r="13" spans="1:2">
      <c r="A13" s="11">
        <f>Returns!A13</f>
        <v>0</v>
      </c>
      <c r="B13" s="1">
        <f>MAX(AVERAGE(Portfolios!$B$2:$B$252)-Portfolios!B13, 0)</f>
        <v>0</v>
      </c>
    </row>
    <row r="14" spans="1:2">
      <c r="A14" s="11">
        <f>Returns!A14</f>
        <v>0</v>
      </c>
      <c r="B14" s="1">
        <f>MAX(AVERAGE(Portfolios!$B$2:$B$252)-Portfolios!B14, 0)</f>
        <v>0</v>
      </c>
    </row>
    <row r="15" spans="1:2">
      <c r="A15" s="11">
        <f>Returns!A15</f>
        <v>0</v>
      </c>
      <c r="B15" s="1">
        <f>MAX(AVERAGE(Portfolios!$B$2:$B$252)-Portfolios!B15, 0)</f>
        <v>0</v>
      </c>
    </row>
    <row r="16" spans="1:2">
      <c r="A16" s="11">
        <f>Returns!A16</f>
        <v>0</v>
      </c>
      <c r="B16" s="1">
        <f>MAX(AVERAGE(Portfolios!$B$2:$B$252)-Portfolios!B16, 0)</f>
        <v>0</v>
      </c>
    </row>
    <row r="17" spans="1:2">
      <c r="A17" s="11">
        <f>Returns!A17</f>
        <v>0</v>
      </c>
      <c r="B17" s="1">
        <f>MAX(AVERAGE(Portfolios!$B$2:$B$252)-Portfolios!B17, 0)</f>
        <v>0</v>
      </c>
    </row>
    <row r="18" spans="1:2">
      <c r="A18" s="11">
        <f>Returns!A18</f>
        <v>0</v>
      </c>
      <c r="B18" s="1">
        <f>MAX(AVERAGE(Portfolios!$B$2:$B$252)-Portfolios!B18, 0)</f>
        <v>0</v>
      </c>
    </row>
    <row r="19" spans="1:2">
      <c r="A19" s="11">
        <f>Returns!A19</f>
        <v>0</v>
      </c>
      <c r="B19" s="1">
        <f>MAX(AVERAGE(Portfolios!$B$2:$B$252)-Portfolios!B19, 0)</f>
        <v>0</v>
      </c>
    </row>
    <row r="20" spans="1:2">
      <c r="A20" s="11">
        <f>Returns!A20</f>
        <v>0</v>
      </c>
      <c r="B20" s="1">
        <f>MAX(AVERAGE(Portfolios!$B$2:$B$252)-Portfolios!B20, 0)</f>
        <v>0</v>
      </c>
    </row>
    <row r="21" spans="1:2">
      <c r="A21" s="11">
        <f>Returns!A21</f>
        <v>0</v>
      </c>
      <c r="B21" s="1">
        <f>MAX(AVERAGE(Portfolios!$B$2:$B$252)-Portfolios!B21, 0)</f>
        <v>0</v>
      </c>
    </row>
    <row r="22" spans="1:2">
      <c r="A22" s="11">
        <f>Returns!A22</f>
        <v>0</v>
      </c>
      <c r="B22" s="1">
        <f>MAX(AVERAGE(Portfolios!$B$2:$B$252)-Portfolios!B22, 0)</f>
        <v>0</v>
      </c>
    </row>
    <row r="23" spans="1:2">
      <c r="A23" s="11">
        <f>Returns!A23</f>
        <v>0</v>
      </c>
      <c r="B23" s="1">
        <f>MAX(AVERAGE(Portfolios!$B$2:$B$252)-Portfolios!B23, 0)</f>
        <v>0</v>
      </c>
    </row>
    <row r="24" spans="1:2">
      <c r="A24" s="11">
        <f>Returns!A24</f>
        <v>0</v>
      </c>
      <c r="B24" s="1">
        <f>MAX(AVERAGE(Portfolios!$B$2:$B$252)-Portfolios!B24, 0)</f>
        <v>0</v>
      </c>
    </row>
    <row r="25" spans="1:2">
      <c r="A25" s="11">
        <f>Returns!A25</f>
        <v>0</v>
      </c>
      <c r="B25" s="1">
        <f>MAX(AVERAGE(Portfolios!$B$2:$B$252)-Portfolios!B25, 0)</f>
        <v>0</v>
      </c>
    </row>
    <row r="26" spans="1:2">
      <c r="A26" s="11">
        <f>Returns!A26</f>
        <v>0</v>
      </c>
      <c r="B26" s="1">
        <f>MAX(AVERAGE(Portfolios!$B$2:$B$252)-Portfolios!B26, 0)</f>
        <v>0</v>
      </c>
    </row>
    <row r="27" spans="1:2">
      <c r="A27" s="11">
        <f>Returns!A27</f>
        <v>0</v>
      </c>
      <c r="B27" s="1">
        <f>MAX(AVERAGE(Portfolios!$B$2:$B$252)-Portfolios!B27, 0)</f>
        <v>0</v>
      </c>
    </row>
    <row r="28" spans="1:2">
      <c r="A28" s="11">
        <f>Returns!A28</f>
        <v>0</v>
      </c>
      <c r="B28" s="1">
        <f>MAX(AVERAGE(Portfolios!$B$2:$B$252)-Portfolios!B28, 0)</f>
        <v>0</v>
      </c>
    </row>
    <row r="29" spans="1:2">
      <c r="A29" s="11">
        <f>Returns!A29</f>
        <v>0</v>
      </c>
      <c r="B29" s="1">
        <f>MAX(AVERAGE(Portfolios!$B$2:$B$252)-Portfolios!B29, 0)</f>
        <v>0</v>
      </c>
    </row>
    <row r="30" spans="1:2">
      <c r="A30" s="11">
        <f>Returns!A30</f>
        <v>0</v>
      </c>
      <c r="B30" s="1">
        <f>MAX(AVERAGE(Portfolios!$B$2:$B$252)-Portfolios!B30, 0)</f>
        <v>0</v>
      </c>
    </row>
    <row r="31" spans="1:2">
      <c r="A31" s="11">
        <f>Returns!A31</f>
        <v>0</v>
      </c>
      <c r="B31" s="1">
        <f>MAX(AVERAGE(Portfolios!$B$2:$B$252)-Portfolios!B31, 0)</f>
        <v>0</v>
      </c>
    </row>
    <row r="32" spans="1:2">
      <c r="A32" s="11">
        <f>Returns!A32</f>
        <v>0</v>
      </c>
      <c r="B32" s="1">
        <f>MAX(AVERAGE(Portfolios!$B$2:$B$252)-Portfolios!B32, 0)</f>
        <v>0</v>
      </c>
    </row>
    <row r="33" spans="1:2">
      <c r="A33" s="11">
        <f>Returns!A33</f>
        <v>0</v>
      </c>
      <c r="B33" s="1">
        <f>MAX(AVERAGE(Portfolios!$B$2:$B$252)-Portfolios!B33, 0)</f>
        <v>0</v>
      </c>
    </row>
    <row r="34" spans="1:2">
      <c r="A34" s="11">
        <f>Returns!A34</f>
        <v>0</v>
      </c>
      <c r="B34" s="1">
        <f>MAX(AVERAGE(Portfolios!$B$2:$B$252)-Portfolios!B34, 0)</f>
        <v>0</v>
      </c>
    </row>
    <row r="35" spans="1:2">
      <c r="A35" s="11">
        <f>Returns!A35</f>
        <v>0</v>
      </c>
      <c r="B35" s="1">
        <f>MAX(AVERAGE(Portfolios!$B$2:$B$252)-Portfolios!B35, 0)</f>
        <v>0</v>
      </c>
    </row>
    <row r="36" spans="1:2">
      <c r="A36" s="11">
        <f>Returns!A36</f>
        <v>0</v>
      </c>
      <c r="B36" s="1">
        <f>MAX(AVERAGE(Portfolios!$B$2:$B$252)-Portfolios!B36, 0)</f>
        <v>0</v>
      </c>
    </row>
    <row r="37" spans="1:2">
      <c r="A37" s="11">
        <f>Returns!A37</f>
        <v>0</v>
      </c>
      <c r="B37" s="1">
        <f>MAX(AVERAGE(Portfolios!$B$2:$B$252)-Portfolios!B37, 0)</f>
        <v>0</v>
      </c>
    </row>
    <row r="38" spans="1:2">
      <c r="A38" s="11">
        <f>Returns!A38</f>
        <v>0</v>
      </c>
      <c r="B38" s="1">
        <f>MAX(AVERAGE(Portfolios!$B$2:$B$252)-Portfolios!B38, 0)</f>
        <v>0</v>
      </c>
    </row>
    <row r="39" spans="1:2">
      <c r="A39" s="11">
        <f>Returns!A39</f>
        <v>0</v>
      </c>
      <c r="B39" s="1">
        <f>MAX(AVERAGE(Portfolios!$B$2:$B$252)-Portfolios!B39, 0)</f>
        <v>0</v>
      </c>
    </row>
    <row r="40" spans="1:2">
      <c r="A40" s="11">
        <f>Returns!A40</f>
        <v>0</v>
      </c>
      <c r="B40" s="1">
        <f>MAX(AVERAGE(Portfolios!$B$2:$B$252)-Portfolios!B40, 0)</f>
        <v>0</v>
      </c>
    </row>
    <row r="41" spans="1:2">
      <c r="A41" s="11">
        <f>Returns!A41</f>
        <v>0</v>
      </c>
      <c r="B41" s="1">
        <f>MAX(AVERAGE(Portfolios!$B$2:$B$252)-Portfolios!B41, 0)</f>
        <v>0</v>
      </c>
    </row>
    <row r="42" spans="1:2">
      <c r="A42" s="11">
        <f>Returns!A42</f>
        <v>0</v>
      </c>
      <c r="B42" s="1">
        <f>MAX(AVERAGE(Portfolios!$B$2:$B$252)-Portfolios!B42, 0)</f>
        <v>0</v>
      </c>
    </row>
    <row r="43" spans="1:2">
      <c r="A43" s="11">
        <f>Returns!A43</f>
        <v>0</v>
      </c>
      <c r="B43" s="1">
        <f>MAX(AVERAGE(Portfolios!$B$2:$B$252)-Portfolios!B43, 0)</f>
        <v>0</v>
      </c>
    </row>
    <row r="44" spans="1:2">
      <c r="A44" s="11">
        <f>Returns!A44</f>
        <v>0</v>
      </c>
      <c r="B44" s="1">
        <f>MAX(AVERAGE(Portfolios!$B$2:$B$252)-Portfolios!B44, 0)</f>
        <v>0</v>
      </c>
    </row>
    <row r="45" spans="1:2">
      <c r="A45" s="11">
        <f>Returns!A45</f>
        <v>0</v>
      </c>
      <c r="B45" s="1">
        <f>MAX(AVERAGE(Portfolios!$B$2:$B$252)-Portfolios!B45, 0)</f>
        <v>0</v>
      </c>
    </row>
    <row r="46" spans="1:2">
      <c r="A46" s="11">
        <f>Returns!A46</f>
        <v>0</v>
      </c>
      <c r="B46" s="1">
        <f>MAX(AVERAGE(Portfolios!$B$2:$B$252)-Portfolios!B46, 0)</f>
        <v>0</v>
      </c>
    </row>
    <row r="47" spans="1:2">
      <c r="A47" s="11">
        <f>Returns!A47</f>
        <v>0</v>
      </c>
      <c r="B47" s="1">
        <f>MAX(AVERAGE(Portfolios!$B$2:$B$252)-Portfolios!B47, 0)</f>
        <v>0</v>
      </c>
    </row>
    <row r="48" spans="1:2">
      <c r="A48" s="11">
        <f>Returns!A48</f>
        <v>0</v>
      </c>
      <c r="B48" s="1">
        <f>MAX(AVERAGE(Portfolios!$B$2:$B$252)-Portfolios!B48, 0)</f>
        <v>0</v>
      </c>
    </row>
    <row r="49" spans="1:2">
      <c r="A49" s="11">
        <f>Returns!A49</f>
        <v>0</v>
      </c>
      <c r="B49" s="1">
        <f>MAX(AVERAGE(Portfolios!$B$2:$B$252)-Portfolios!B49, 0)</f>
        <v>0</v>
      </c>
    </row>
    <row r="50" spans="1:2">
      <c r="A50" s="11">
        <f>Returns!A50</f>
        <v>0</v>
      </c>
      <c r="B50" s="1">
        <f>MAX(AVERAGE(Portfolios!$B$2:$B$252)-Portfolios!B50, 0)</f>
        <v>0</v>
      </c>
    </row>
    <row r="51" spans="1:2">
      <c r="A51" s="11">
        <f>Returns!A51</f>
        <v>0</v>
      </c>
      <c r="B51" s="1">
        <f>MAX(AVERAGE(Portfolios!$B$2:$B$252)-Portfolios!B51, 0)</f>
        <v>0</v>
      </c>
    </row>
    <row r="52" spans="1:2">
      <c r="A52" s="11">
        <f>Returns!A52</f>
        <v>0</v>
      </c>
      <c r="B52" s="1">
        <f>MAX(AVERAGE(Portfolios!$B$2:$B$252)-Portfolios!B52, 0)</f>
        <v>0</v>
      </c>
    </row>
    <row r="53" spans="1:2">
      <c r="A53" s="11">
        <f>Returns!A53</f>
        <v>0</v>
      </c>
      <c r="B53" s="1">
        <f>MAX(AVERAGE(Portfolios!$B$2:$B$252)-Portfolios!B53, 0)</f>
        <v>0</v>
      </c>
    </row>
    <row r="54" spans="1:2">
      <c r="A54" s="11">
        <f>Returns!A54</f>
        <v>0</v>
      </c>
      <c r="B54" s="1">
        <f>MAX(AVERAGE(Portfolios!$B$2:$B$252)-Portfolios!B54, 0)</f>
        <v>0</v>
      </c>
    </row>
    <row r="55" spans="1:2">
      <c r="A55" s="11">
        <f>Returns!A55</f>
        <v>0</v>
      </c>
      <c r="B55" s="1">
        <f>MAX(AVERAGE(Portfolios!$B$2:$B$252)-Portfolios!B55, 0)</f>
        <v>0</v>
      </c>
    </row>
    <row r="56" spans="1:2">
      <c r="A56" s="11">
        <f>Returns!A56</f>
        <v>0</v>
      </c>
      <c r="B56" s="1">
        <f>MAX(AVERAGE(Portfolios!$B$2:$B$252)-Portfolios!B56, 0)</f>
        <v>0</v>
      </c>
    </row>
    <row r="57" spans="1:2">
      <c r="A57" s="11">
        <f>Returns!A57</f>
        <v>0</v>
      </c>
      <c r="B57" s="1">
        <f>MAX(AVERAGE(Portfolios!$B$2:$B$252)-Portfolios!B57, 0)</f>
        <v>0</v>
      </c>
    </row>
    <row r="58" spans="1:2">
      <c r="A58" s="11">
        <f>Returns!A58</f>
        <v>0</v>
      </c>
      <c r="B58" s="1">
        <f>MAX(AVERAGE(Portfolios!$B$2:$B$252)-Portfolios!B58, 0)</f>
        <v>0</v>
      </c>
    </row>
    <row r="59" spans="1:2">
      <c r="A59" s="11">
        <f>Returns!A59</f>
        <v>0</v>
      </c>
      <c r="B59" s="1">
        <f>MAX(AVERAGE(Portfolios!$B$2:$B$252)-Portfolios!B59, 0)</f>
        <v>0</v>
      </c>
    </row>
    <row r="60" spans="1:2">
      <c r="A60" s="11">
        <f>Returns!A60</f>
        <v>0</v>
      </c>
      <c r="B60" s="1">
        <f>MAX(AVERAGE(Portfolios!$B$2:$B$252)-Portfolios!B60, 0)</f>
        <v>0</v>
      </c>
    </row>
    <row r="61" spans="1:2">
      <c r="A61" s="11">
        <f>Returns!A61</f>
        <v>0</v>
      </c>
      <c r="B61" s="1">
        <f>MAX(AVERAGE(Portfolios!$B$2:$B$252)-Portfolios!B61, 0)</f>
        <v>0</v>
      </c>
    </row>
    <row r="62" spans="1:2">
      <c r="A62" s="11">
        <f>Returns!A62</f>
        <v>0</v>
      </c>
      <c r="B62" s="1">
        <f>MAX(AVERAGE(Portfolios!$B$2:$B$252)-Portfolios!B62, 0)</f>
        <v>0</v>
      </c>
    </row>
    <row r="63" spans="1:2">
      <c r="A63" s="11">
        <f>Returns!A63</f>
        <v>0</v>
      </c>
      <c r="B63" s="1">
        <f>MAX(AVERAGE(Portfolios!$B$2:$B$252)-Portfolios!B63, 0)</f>
        <v>0</v>
      </c>
    </row>
    <row r="64" spans="1:2">
      <c r="A64" s="11">
        <f>Returns!A64</f>
        <v>0</v>
      </c>
      <c r="B64" s="1">
        <f>MAX(AVERAGE(Portfolios!$B$2:$B$252)-Portfolios!B64, 0)</f>
        <v>0</v>
      </c>
    </row>
    <row r="65" spans="1:2">
      <c r="A65" s="11">
        <f>Returns!A65</f>
        <v>0</v>
      </c>
      <c r="B65" s="1">
        <f>MAX(AVERAGE(Portfolios!$B$2:$B$252)-Portfolios!B65, 0)</f>
        <v>0</v>
      </c>
    </row>
    <row r="66" spans="1:2">
      <c r="A66" s="11">
        <f>Returns!A66</f>
        <v>0</v>
      </c>
      <c r="B66" s="1">
        <f>MAX(AVERAGE(Portfolios!$B$2:$B$252)-Portfolios!B66, 0)</f>
        <v>0</v>
      </c>
    </row>
    <row r="67" spans="1:2">
      <c r="A67" s="11">
        <f>Returns!A67</f>
        <v>0</v>
      </c>
      <c r="B67" s="1">
        <f>MAX(AVERAGE(Portfolios!$B$2:$B$252)-Portfolios!B67, 0)</f>
        <v>0</v>
      </c>
    </row>
    <row r="68" spans="1:2">
      <c r="A68" s="11">
        <f>Returns!A68</f>
        <v>0</v>
      </c>
      <c r="B68" s="1">
        <f>MAX(AVERAGE(Portfolios!$B$2:$B$252)-Portfolios!B68, 0)</f>
        <v>0</v>
      </c>
    </row>
    <row r="69" spans="1:2">
      <c r="A69" s="11">
        <f>Returns!A69</f>
        <v>0</v>
      </c>
      <c r="B69" s="1">
        <f>MAX(AVERAGE(Portfolios!$B$2:$B$252)-Portfolios!B69, 0)</f>
        <v>0</v>
      </c>
    </row>
    <row r="70" spans="1:2">
      <c r="A70" s="11">
        <f>Returns!A70</f>
        <v>0</v>
      </c>
      <c r="B70" s="1">
        <f>MAX(AVERAGE(Portfolios!$B$2:$B$252)-Portfolios!B70, 0)</f>
        <v>0</v>
      </c>
    </row>
    <row r="71" spans="1:2">
      <c r="A71" s="11">
        <f>Returns!A71</f>
        <v>0</v>
      </c>
      <c r="B71" s="1">
        <f>MAX(AVERAGE(Portfolios!$B$2:$B$252)-Portfolios!B71, 0)</f>
        <v>0</v>
      </c>
    </row>
    <row r="72" spans="1:2">
      <c r="A72" s="11">
        <f>Returns!A72</f>
        <v>0</v>
      </c>
      <c r="B72" s="1">
        <f>MAX(AVERAGE(Portfolios!$B$2:$B$252)-Portfolios!B72, 0)</f>
        <v>0</v>
      </c>
    </row>
    <row r="73" spans="1:2">
      <c r="A73" s="11">
        <f>Returns!A73</f>
        <v>0</v>
      </c>
      <c r="B73" s="1">
        <f>MAX(AVERAGE(Portfolios!$B$2:$B$252)-Portfolios!B73, 0)</f>
        <v>0</v>
      </c>
    </row>
    <row r="74" spans="1:2">
      <c r="A74" s="11">
        <f>Returns!A74</f>
        <v>0</v>
      </c>
      <c r="B74" s="1">
        <f>MAX(AVERAGE(Portfolios!$B$2:$B$252)-Portfolios!B74, 0)</f>
        <v>0</v>
      </c>
    </row>
    <row r="75" spans="1:2">
      <c r="A75" s="11">
        <f>Returns!A75</f>
        <v>0</v>
      </c>
      <c r="B75" s="1">
        <f>MAX(AVERAGE(Portfolios!$B$2:$B$252)-Portfolios!B75, 0)</f>
        <v>0</v>
      </c>
    </row>
    <row r="76" spans="1:2">
      <c r="A76" s="11">
        <f>Returns!A76</f>
        <v>0</v>
      </c>
      <c r="B76" s="1">
        <f>MAX(AVERAGE(Portfolios!$B$2:$B$252)-Portfolios!B76, 0)</f>
        <v>0</v>
      </c>
    </row>
    <row r="77" spans="1:2">
      <c r="A77" s="11">
        <f>Returns!A77</f>
        <v>0</v>
      </c>
      <c r="B77" s="1">
        <f>MAX(AVERAGE(Portfolios!$B$2:$B$252)-Portfolios!B77, 0)</f>
        <v>0</v>
      </c>
    </row>
    <row r="78" spans="1:2">
      <c r="A78" s="11">
        <f>Returns!A78</f>
        <v>0</v>
      </c>
      <c r="B78" s="1">
        <f>MAX(AVERAGE(Portfolios!$B$2:$B$252)-Portfolios!B78, 0)</f>
        <v>0</v>
      </c>
    </row>
    <row r="79" spans="1:2">
      <c r="A79" s="11">
        <f>Returns!A79</f>
        <v>0</v>
      </c>
      <c r="B79" s="1">
        <f>MAX(AVERAGE(Portfolios!$B$2:$B$252)-Portfolios!B79, 0)</f>
        <v>0</v>
      </c>
    </row>
    <row r="80" spans="1:2">
      <c r="A80" s="11">
        <f>Returns!A80</f>
        <v>0</v>
      </c>
      <c r="B80" s="1">
        <f>MAX(AVERAGE(Portfolios!$B$2:$B$252)-Portfolios!B80, 0)</f>
        <v>0</v>
      </c>
    </row>
    <row r="81" spans="1:2">
      <c r="A81" s="11">
        <f>Returns!A81</f>
        <v>0</v>
      </c>
      <c r="B81" s="1">
        <f>MAX(AVERAGE(Portfolios!$B$2:$B$252)-Portfolios!B81, 0)</f>
        <v>0</v>
      </c>
    </row>
    <row r="82" spans="1:2">
      <c r="A82" s="11">
        <f>Returns!A82</f>
        <v>0</v>
      </c>
      <c r="B82" s="1">
        <f>MAX(AVERAGE(Portfolios!$B$2:$B$252)-Portfolios!B82, 0)</f>
        <v>0</v>
      </c>
    </row>
    <row r="83" spans="1:2">
      <c r="A83" s="11">
        <f>Returns!A83</f>
        <v>0</v>
      </c>
      <c r="B83" s="1">
        <f>MAX(AVERAGE(Portfolios!$B$2:$B$252)-Portfolios!B83, 0)</f>
        <v>0</v>
      </c>
    </row>
    <row r="84" spans="1:2">
      <c r="A84" s="11">
        <f>Returns!A84</f>
        <v>0</v>
      </c>
      <c r="B84" s="1">
        <f>MAX(AVERAGE(Portfolios!$B$2:$B$252)-Portfolios!B84, 0)</f>
        <v>0</v>
      </c>
    </row>
    <row r="85" spans="1:2">
      <c r="A85" s="11">
        <f>Returns!A85</f>
        <v>0</v>
      </c>
      <c r="B85" s="1">
        <f>MAX(AVERAGE(Portfolios!$B$2:$B$252)-Portfolios!B85, 0)</f>
        <v>0</v>
      </c>
    </row>
    <row r="86" spans="1:2">
      <c r="A86" s="11">
        <f>Returns!A86</f>
        <v>0</v>
      </c>
      <c r="B86" s="1">
        <f>MAX(AVERAGE(Portfolios!$B$2:$B$252)-Portfolios!B86, 0)</f>
        <v>0</v>
      </c>
    </row>
    <row r="87" spans="1:2">
      <c r="A87" s="11">
        <f>Returns!A87</f>
        <v>0</v>
      </c>
      <c r="B87" s="1">
        <f>MAX(AVERAGE(Portfolios!$B$2:$B$252)-Portfolios!B87, 0)</f>
        <v>0</v>
      </c>
    </row>
    <row r="88" spans="1:2">
      <c r="A88" s="11">
        <f>Returns!A88</f>
        <v>0</v>
      </c>
      <c r="B88" s="1">
        <f>MAX(AVERAGE(Portfolios!$B$2:$B$252)-Portfolios!B88, 0)</f>
        <v>0</v>
      </c>
    </row>
    <row r="89" spans="1:2">
      <c r="A89" s="11">
        <f>Returns!A89</f>
        <v>0</v>
      </c>
      <c r="B89" s="1">
        <f>MAX(AVERAGE(Portfolios!$B$2:$B$252)-Portfolios!B89, 0)</f>
        <v>0</v>
      </c>
    </row>
    <row r="90" spans="1:2">
      <c r="A90" s="11">
        <f>Returns!A90</f>
        <v>0</v>
      </c>
      <c r="B90" s="1">
        <f>MAX(AVERAGE(Portfolios!$B$2:$B$252)-Portfolios!B90, 0)</f>
        <v>0</v>
      </c>
    </row>
    <row r="91" spans="1:2">
      <c r="A91" s="11">
        <f>Returns!A91</f>
        <v>0</v>
      </c>
      <c r="B91" s="1">
        <f>MAX(AVERAGE(Portfolios!$B$2:$B$252)-Portfolios!B91, 0)</f>
        <v>0</v>
      </c>
    </row>
    <row r="92" spans="1:2">
      <c r="A92" s="11">
        <f>Returns!A92</f>
        <v>0</v>
      </c>
      <c r="B92" s="1">
        <f>MAX(AVERAGE(Portfolios!$B$2:$B$252)-Portfolios!B92, 0)</f>
        <v>0</v>
      </c>
    </row>
    <row r="93" spans="1:2">
      <c r="A93" s="11">
        <f>Returns!A93</f>
        <v>0</v>
      </c>
      <c r="B93" s="1">
        <f>MAX(AVERAGE(Portfolios!$B$2:$B$252)-Portfolios!B93, 0)</f>
        <v>0</v>
      </c>
    </row>
    <row r="94" spans="1:2">
      <c r="A94" s="11">
        <f>Returns!A94</f>
        <v>0</v>
      </c>
      <c r="B94" s="1">
        <f>MAX(AVERAGE(Portfolios!$B$2:$B$252)-Portfolios!B94, 0)</f>
        <v>0</v>
      </c>
    </row>
    <row r="95" spans="1:2">
      <c r="A95" s="11">
        <f>Returns!A95</f>
        <v>0</v>
      </c>
      <c r="B95" s="1">
        <f>MAX(AVERAGE(Portfolios!$B$2:$B$252)-Portfolios!B95, 0)</f>
        <v>0</v>
      </c>
    </row>
    <row r="96" spans="1:2">
      <c r="A96" s="11">
        <f>Returns!A96</f>
        <v>0</v>
      </c>
      <c r="B96" s="1">
        <f>MAX(AVERAGE(Portfolios!$B$2:$B$252)-Portfolios!B96, 0)</f>
        <v>0</v>
      </c>
    </row>
    <row r="97" spans="1:2">
      <c r="A97" s="11">
        <f>Returns!A97</f>
        <v>0</v>
      </c>
      <c r="B97" s="1">
        <f>MAX(AVERAGE(Portfolios!$B$2:$B$252)-Portfolios!B97, 0)</f>
        <v>0</v>
      </c>
    </row>
    <row r="98" spans="1:2">
      <c r="A98" s="11">
        <f>Returns!A98</f>
        <v>0</v>
      </c>
      <c r="B98" s="1">
        <f>MAX(AVERAGE(Portfolios!$B$2:$B$252)-Portfolios!B98, 0)</f>
        <v>0</v>
      </c>
    </row>
    <row r="99" spans="1:2">
      <c r="A99" s="11">
        <f>Returns!A99</f>
        <v>0</v>
      </c>
      <c r="B99" s="1">
        <f>MAX(AVERAGE(Portfolios!$B$2:$B$252)-Portfolios!B99, 0)</f>
        <v>0</v>
      </c>
    </row>
    <row r="100" spans="1:2">
      <c r="A100" s="11">
        <f>Returns!A100</f>
        <v>0</v>
      </c>
      <c r="B100" s="1">
        <f>MAX(AVERAGE(Portfolios!$B$2:$B$252)-Portfolios!B100, 0)</f>
        <v>0</v>
      </c>
    </row>
    <row r="101" spans="1:2">
      <c r="A101" s="11">
        <f>Returns!A101</f>
        <v>0</v>
      </c>
      <c r="B101" s="1">
        <f>MAX(AVERAGE(Portfolios!$B$2:$B$252)-Portfolios!B101, 0)</f>
        <v>0</v>
      </c>
    </row>
    <row r="102" spans="1:2">
      <c r="A102" s="11">
        <f>Returns!A102</f>
        <v>0</v>
      </c>
      <c r="B102" s="1">
        <f>MAX(AVERAGE(Portfolios!$B$2:$B$252)-Portfolios!B102, 0)</f>
        <v>0</v>
      </c>
    </row>
    <row r="103" spans="1:2">
      <c r="A103" s="11">
        <f>Returns!A103</f>
        <v>0</v>
      </c>
      <c r="B103" s="1">
        <f>MAX(AVERAGE(Portfolios!$B$2:$B$252)-Portfolios!B103, 0)</f>
        <v>0</v>
      </c>
    </row>
    <row r="104" spans="1:2">
      <c r="A104" s="11">
        <f>Returns!A104</f>
        <v>0</v>
      </c>
      <c r="B104" s="1">
        <f>MAX(AVERAGE(Portfolios!$B$2:$B$252)-Portfolios!B104, 0)</f>
        <v>0</v>
      </c>
    </row>
    <row r="105" spans="1:2">
      <c r="A105" s="11">
        <f>Returns!A105</f>
        <v>0</v>
      </c>
      <c r="B105" s="1">
        <f>MAX(AVERAGE(Portfolios!$B$2:$B$252)-Portfolios!B105, 0)</f>
        <v>0</v>
      </c>
    </row>
    <row r="106" spans="1:2">
      <c r="A106" s="11">
        <f>Returns!A106</f>
        <v>0</v>
      </c>
      <c r="B106" s="1">
        <f>MAX(AVERAGE(Portfolios!$B$2:$B$252)-Portfolios!B106, 0)</f>
        <v>0</v>
      </c>
    </row>
    <row r="107" spans="1:2">
      <c r="A107" s="11">
        <f>Returns!A107</f>
        <v>0</v>
      </c>
      <c r="B107" s="1">
        <f>MAX(AVERAGE(Portfolios!$B$2:$B$252)-Portfolios!B107, 0)</f>
        <v>0</v>
      </c>
    </row>
    <row r="108" spans="1:2">
      <c r="A108" s="11">
        <f>Returns!A108</f>
        <v>0</v>
      </c>
      <c r="B108" s="1">
        <f>MAX(AVERAGE(Portfolios!$B$2:$B$252)-Portfolios!B108, 0)</f>
        <v>0</v>
      </c>
    </row>
    <row r="109" spans="1:2">
      <c r="A109" s="11">
        <f>Returns!A109</f>
        <v>0</v>
      </c>
      <c r="B109" s="1">
        <f>MAX(AVERAGE(Portfolios!$B$2:$B$252)-Portfolios!B109, 0)</f>
        <v>0</v>
      </c>
    </row>
    <row r="110" spans="1:2">
      <c r="A110" s="11">
        <f>Returns!A110</f>
        <v>0</v>
      </c>
      <c r="B110" s="1">
        <f>MAX(AVERAGE(Portfolios!$B$2:$B$252)-Portfolios!B110, 0)</f>
        <v>0</v>
      </c>
    </row>
    <row r="111" spans="1:2">
      <c r="A111" s="11">
        <f>Returns!A111</f>
        <v>0</v>
      </c>
      <c r="B111" s="1">
        <f>MAX(AVERAGE(Portfolios!$B$2:$B$252)-Portfolios!B111, 0)</f>
        <v>0</v>
      </c>
    </row>
    <row r="112" spans="1:2">
      <c r="A112" s="11">
        <f>Returns!A112</f>
        <v>0</v>
      </c>
      <c r="B112" s="1">
        <f>MAX(AVERAGE(Portfolios!$B$2:$B$252)-Portfolios!B112, 0)</f>
        <v>0</v>
      </c>
    </row>
    <row r="113" spans="1:2">
      <c r="A113" s="11">
        <f>Returns!A113</f>
        <v>0</v>
      </c>
      <c r="B113" s="1">
        <f>MAX(AVERAGE(Portfolios!$B$2:$B$252)-Portfolios!B113, 0)</f>
        <v>0</v>
      </c>
    </row>
    <row r="114" spans="1:2">
      <c r="A114" s="11">
        <f>Returns!A114</f>
        <v>0</v>
      </c>
      <c r="B114" s="1">
        <f>MAX(AVERAGE(Portfolios!$B$2:$B$252)-Portfolios!B114, 0)</f>
        <v>0</v>
      </c>
    </row>
    <row r="115" spans="1:2">
      <c r="A115" s="11">
        <f>Returns!A115</f>
        <v>0</v>
      </c>
      <c r="B115" s="1">
        <f>MAX(AVERAGE(Portfolios!$B$2:$B$252)-Portfolios!B115, 0)</f>
        <v>0</v>
      </c>
    </row>
    <row r="116" spans="1:2">
      <c r="A116" s="11">
        <f>Returns!A116</f>
        <v>0</v>
      </c>
      <c r="B116" s="1">
        <f>MAX(AVERAGE(Portfolios!$B$2:$B$252)-Portfolios!B116, 0)</f>
        <v>0</v>
      </c>
    </row>
    <row r="117" spans="1:2">
      <c r="A117" s="11">
        <f>Returns!A117</f>
        <v>0</v>
      </c>
      <c r="B117" s="1">
        <f>MAX(AVERAGE(Portfolios!$B$2:$B$252)-Portfolios!B117, 0)</f>
        <v>0</v>
      </c>
    </row>
    <row r="118" spans="1:2">
      <c r="A118" s="11">
        <f>Returns!A118</f>
        <v>0</v>
      </c>
      <c r="B118" s="1">
        <f>MAX(AVERAGE(Portfolios!$B$2:$B$252)-Portfolios!B118, 0)</f>
        <v>0</v>
      </c>
    </row>
    <row r="119" spans="1:2">
      <c r="A119" s="11">
        <f>Returns!A119</f>
        <v>0</v>
      </c>
      <c r="B119" s="1">
        <f>MAX(AVERAGE(Portfolios!$B$2:$B$252)-Portfolios!B119, 0)</f>
        <v>0</v>
      </c>
    </row>
    <row r="120" spans="1:2">
      <c r="A120" s="11">
        <f>Returns!A120</f>
        <v>0</v>
      </c>
      <c r="B120" s="1">
        <f>MAX(AVERAGE(Portfolios!$B$2:$B$252)-Portfolios!B120, 0)</f>
        <v>0</v>
      </c>
    </row>
    <row r="121" spans="1:2">
      <c r="A121" s="11">
        <f>Returns!A121</f>
        <v>0</v>
      </c>
      <c r="B121" s="1">
        <f>MAX(AVERAGE(Portfolios!$B$2:$B$252)-Portfolios!B121, 0)</f>
        <v>0</v>
      </c>
    </row>
    <row r="122" spans="1:2">
      <c r="A122" s="11">
        <f>Returns!A122</f>
        <v>0</v>
      </c>
      <c r="B122" s="1">
        <f>MAX(AVERAGE(Portfolios!$B$2:$B$252)-Portfolios!B122, 0)</f>
        <v>0</v>
      </c>
    </row>
    <row r="123" spans="1:2">
      <c r="A123" s="11">
        <f>Returns!A123</f>
        <v>0</v>
      </c>
      <c r="B123" s="1">
        <f>MAX(AVERAGE(Portfolios!$B$2:$B$252)-Portfolios!B123, 0)</f>
        <v>0</v>
      </c>
    </row>
    <row r="124" spans="1:2">
      <c r="A124" s="11">
        <f>Returns!A124</f>
        <v>0</v>
      </c>
      <c r="B124" s="1">
        <f>MAX(AVERAGE(Portfolios!$B$2:$B$252)-Portfolios!B124, 0)</f>
        <v>0</v>
      </c>
    </row>
    <row r="125" spans="1:2">
      <c r="A125" s="11">
        <f>Returns!A125</f>
        <v>0</v>
      </c>
      <c r="B125" s="1">
        <f>MAX(AVERAGE(Portfolios!$B$2:$B$252)-Portfolios!B125, 0)</f>
        <v>0</v>
      </c>
    </row>
    <row r="126" spans="1:2">
      <c r="A126" s="11">
        <f>Returns!A126</f>
        <v>0</v>
      </c>
      <c r="B126" s="1">
        <f>MAX(AVERAGE(Portfolios!$B$2:$B$252)-Portfolios!B126, 0)</f>
        <v>0</v>
      </c>
    </row>
    <row r="127" spans="1:2">
      <c r="A127" s="11">
        <f>Returns!A127</f>
        <v>0</v>
      </c>
      <c r="B127" s="1">
        <f>MAX(AVERAGE(Portfolios!$B$2:$B$252)-Portfolios!B127, 0)</f>
        <v>0</v>
      </c>
    </row>
    <row r="128" spans="1:2">
      <c r="A128" s="11">
        <f>Returns!A128</f>
        <v>0</v>
      </c>
      <c r="B128" s="1">
        <f>MAX(AVERAGE(Portfolios!$B$2:$B$252)-Portfolios!B128, 0)</f>
        <v>0</v>
      </c>
    </row>
    <row r="129" spans="1:2">
      <c r="A129" s="11">
        <f>Returns!A129</f>
        <v>0</v>
      </c>
      <c r="B129" s="1">
        <f>MAX(AVERAGE(Portfolios!$B$2:$B$252)-Portfolios!B129, 0)</f>
        <v>0</v>
      </c>
    </row>
    <row r="130" spans="1:2">
      <c r="A130" s="11">
        <f>Returns!A130</f>
        <v>0</v>
      </c>
      <c r="B130" s="1">
        <f>MAX(AVERAGE(Portfolios!$B$2:$B$252)-Portfolios!B130, 0)</f>
        <v>0</v>
      </c>
    </row>
    <row r="131" spans="1:2">
      <c r="A131" s="11">
        <f>Returns!A131</f>
        <v>0</v>
      </c>
      <c r="B131" s="1">
        <f>MAX(AVERAGE(Portfolios!$B$2:$B$252)-Portfolios!B131, 0)</f>
        <v>0</v>
      </c>
    </row>
    <row r="132" spans="1:2">
      <c r="A132" s="11">
        <f>Returns!A132</f>
        <v>0</v>
      </c>
      <c r="B132" s="1">
        <f>MAX(AVERAGE(Portfolios!$B$2:$B$252)-Portfolios!B132, 0)</f>
        <v>0</v>
      </c>
    </row>
    <row r="133" spans="1:2">
      <c r="A133" s="11">
        <f>Returns!A133</f>
        <v>0</v>
      </c>
      <c r="B133" s="1">
        <f>MAX(AVERAGE(Portfolios!$B$2:$B$252)-Portfolios!B133, 0)</f>
        <v>0</v>
      </c>
    </row>
    <row r="134" spans="1:2">
      <c r="A134" s="11">
        <f>Returns!A134</f>
        <v>0</v>
      </c>
      <c r="B134" s="1">
        <f>MAX(AVERAGE(Portfolios!$B$2:$B$252)-Portfolios!B134, 0)</f>
        <v>0</v>
      </c>
    </row>
    <row r="135" spans="1:2">
      <c r="A135" s="11">
        <f>Returns!A135</f>
        <v>0</v>
      </c>
      <c r="B135" s="1">
        <f>MAX(AVERAGE(Portfolios!$B$2:$B$252)-Portfolios!B135, 0)</f>
        <v>0</v>
      </c>
    </row>
    <row r="136" spans="1:2">
      <c r="A136" s="11">
        <f>Returns!A136</f>
        <v>0</v>
      </c>
      <c r="B136" s="1">
        <f>MAX(AVERAGE(Portfolios!$B$2:$B$252)-Portfolios!B136, 0)</f>
        <v>0</v>
      </c>
    </row>
    <row r="137" spans="1:2">
      <c r="A137" s="11">
        <f>Returns!A137</f>
        <v>0</v>
      </c>
      <c r="B137" s="1">
        <f>MAX(AVERAGE(Portfolios!$B$2:$B$252)-Portfolios!B137, 0)</f>
        <v>0</v>
      </c>
    </row>
    <row r="138" spans="1:2">
      <c r="A138" s="11">
        <f>Returns!A138</f>
        <v>0</v>
      </c>
      <c r="B138" s="1">
        <f>MAX(AVERAGE(Portfolios!$B$2:$B$252)-Portfolios!B138, 0)</f>
        <v>0</v>
      </c>
    </row>
    <row r="139" spans="1:2">
      <c r="A139" s="11">
        <f>Returns!A139</f>
        <v>0</v>
      </c>
      <c r="B139" s="1">
        <f>MAX(AVERAGE(Portfolios!$B$2:$B$252)-Portfolios!B139, 0)</f>
        <v>0</v>
      </c>
    </row>
    <row r="140" spans="1:2">
      <c r="A140" s="11">
        <f>Returns!A140</f>
        <v>0</v>
      </c>
      <c r="B140" s="1">
        <f>MAX(AVERAGE(Portfolios!$B$2:$B$252)-Portfolios!B140, 0)</f>
        <v>0</v>
      </c>
    </row>
    <row r="141" spans="1:2">
      <c r="A141" s="11">
        <f>Returns!A141</f>
        <v>0</v>
      </c>
      <c r="B141" s="1">
        <f>MAX(AVERAGE(Portfolios!$B$2:$B$252)-Portfolios!B141, 0)</f>
        <v>0</v>
      </c>
    </row>
    <row r="142" spans="1:2">
      <c r="A142" s="11">
        <f>Returns!A142</f>
        <v>0</v>
      </c>
      <c r="B142" s="1">
        <f>MAX(AVERAGE(Portfolios!$B$2:$B$252)-Portfolios!B142, 0)</f>
        <v>0</v>
      </c>
    </row>
    <row r="143" spans="1:2">
      <c r="A143" s="11">
        <f>Returns!A143</f>
        <v>0</v>
      </c>
      <c r="B143" s="1">
        <f>MAX(AVERAGE(Portfolios!$B$2:$B$252)-Portfolios!B143, 0)</f>
        <v>0</v>
      </c>
    </row>
    <row r="144" spans="1:2">
      <c r="A144" s="11">
        <f>Returns!A144</f>
        <v>0</v>
      </c>
      <c r="B144" s="1">
        <f>MAX(AVERAGE(Portfolios!$B$2:$B$252)-Portfolios!B144, 0)</f>
        <v>0</v>
      </c>
    </row>
    <row r="145" spans="1:2">
      <c r="A145" s="11">
        <f>Returns!A145</f>
        <v>0</v>
      </c>
      <c r="B145" s="1">
        <f>MAX(AVERAGE(Portfolios!$B$2:$B$252)-Portfolios!B145, 0)</f>
        <v>0</v>
      </c>
    </row>
    <row r="146" spans="1:2">
      <c r="A146" s="11">
        <f>Returns!A146</f>
        <v>0</v>
      </c>
      <c r="B146" s="1">
        <f>MAX(AVERAGE(Portfolios!$B$2:$B$252)-Portfolios!B146, 0)</f>
        <v>0</v>
      </c>
    </row>
    <row r="147" spans="1:2">
      <c r="A147" s="11">
        <f>Returns!A147</f>
        <v>0</v>
      </c>
      <c r="B147" s="1">
        <f>MAX(AVERAGE(Portfolios!$B$2:$B$252)-Portfolios!B147, 0)</f>
        <v>0</v>
      </c>
    </row>
    <row r="148" spans="1:2">
      <c r="A148" s="11">
        <f>Returns!A148</f>
        <v>0</v>
      </c>
      <c r="B148" s="1">
        <f>MAX(AVERAGE(Portfolios!$B$2:$B$252)-Portfolios!B148, 0)</f>
        <v>0</v>
      </c>
    </row>
    <row r="149" spans="1:2">
      <c r="A149" s="11">
        <f>Returns!A149</f>
        <v>0</v>
      </c>
      <c r="B149" s="1">
        <f>MAX(AVERAGE(Portfolios!$B$2:$B$252)-Portfolios!B149, 0)</f>
        <v>0</v>
      </c>
    </row>
    <row r="150" spans="1:2">
      <c r="A150" s="11">
        <f>Returns!A150</f>
        <v>0</v>
      </c>
      <c r="B150" s="1">
        <f>MAX(AVERAGE(Portfolios!$B$2:$B$252)-Portfolios!B150, 0)</f>
        <v>0</v>
      </c>
    </row>
    <row r="151" spans="1:2">
      <c r="A151" s="11">
        <f>Returns!A151</f>
        <v>0</v>
      </c>
      <c r="B151" s="1">
        <f>MAX(AVERAGE(Portfolios!$B$2:$B$252)-Portfolios!B151, 0)</f>
        <v>0</v>
      </c>
    </row>
    <row r="152" spans="1:2">
      <c r="A152" s="11">
        <f>Returns!A152</f>
        <v>0</v>
      </c>
      <c r="B152" s="1">
        <f>MAX(AVERAGE(Portfolios!$B$2:$B$252)-Portfolios!B152, 0)</f>
        <v>0</v>
      </c>
    </row>
    <row r="153" spans="1:2">
      <c r="A153" s="11">
        <f>Returns!A153</f>
        <v>0</v>
      </c>
      <c r="B153" s="1">
        <f>MAX(AVERAGE(Portfolios!$B$2:$B$252)-Portfolios!B153, 0)</f>
        <v>0</v>
      </c>
    </row>
    <row r="154" spans="1:2">
      <c r="A154" s="11">
        <f>Returns!A154</f>
        <v>0</v>
      </c>
      <c r="B154" s="1">
        <f>MAX(AVERAGE(Portfolios!$B$2:$B$252)-Portfolios!B154, 0)</f>
        <v>0</v>
      </c>
    </row>
    <row r="155" spans="1:2">
      <c r="A155" s="11">
        <f>Returns!A155</f>
        <v>0</v>
      </c>
      <c r="B155" s="1">
        <f>MAX(AVERAGE(Portfolios!$B$2:$B$252)-Portfolios!B155, 0)</f>
        <v>0</v>
      </c>
    </row>
    <row r="156" spans="1:2">
      <c r="A156" s="11">
        <f>Returns!A156</f>
        <v>0</v>
      </c>
      <c r="B156" s="1">
        <f>MAX(AVERAGE(Portfolios!$B$2:$B$252)-Portfolios!B156, 0)</f>
        <v>0</v>
      </c>
    </row>
    <row r="157" spans="1:2">
      <c r="A157" s="11">
        <f>Returns!A157</f>
        <v>0</v>
      </c>
      <c r="B157" s="1">
        <f>MAX(AVERAGE(Portfolios!$B$2:$B$252)-Portfolios!B157, 0)</f>
        <v>0</v>
      </c>
    </row>
    <row r="158" spans="1:2">
      <c r="A158" s="11">
        <f>Returns!A158</f>
        <v>0</v>
      </c>
      <c r="B158" s="1">
        <f>MAX(AVERAGE(Portfolios!$B$2:$B$252)-Portfolios!B158, 0)</f>
        <v>0</v>
      </c>
    </row>
    <row r="159" spans="1:2">
      <c r="A159" s="11">
        <f>Returns!A159</f>
        <v>0</v>
      </c>
      <c r="B159" s="1">
        <f>MAX(AVERAGE(Portfolios!$B$2:$B$252)-Portfolios!B159, 0)</f>
        <v>0</v>
      </c>
    </row>
    <row r="160" spans="1:2">
      <c r="A160" s="11">
        <f>Returns!A160</f>
        <v>0</v>
      </c>
      <c r="B160" s="1">
        <f>MAX(AVERAGE(Portfolios!$B$2:$B$252)-Portfolios!B160, 0)</f>
        <v>0</v>
      </c>
    </row>
    <row r="161" spans="1:2">
      <c r="A161" s="11">
        <f>Returns!A161</f>
        <v>0</v>
      </c>
      <c r="B161" s="1">
        <f>MAX(AVERAGE(Portfolios!$B$2:$B$252)-Portfolios!B161, 0)</f>
        <v>0</v>
      </c>
    </row>
    <row r="162" spans="1:2">
      <c r="A162" s="11">
        <f>Returns!A162</f>
        <v>0</v>
      </c>
      <c r="B162" s="1">
        <f>MAX(AVERAGE(Portfolios!$B$2:$B$252)-Portfolios!B162, 0)</f>
        <v>0</v>
      </c>
    </row>
    <row r="163" spans="1:2">
      <c r="A163" s="11">
        <f>Returns!A163</f>
        <v>0</v>
      </c>
      <c r="B163" s="1">
        <f>MAX(AVERAGE(Portfolios!$B$2:$B$252)-Portfolios!B163, 0)</f>
        <v>0</v>
      </c>
    </row>
    <row r="164" spans="1:2">
      <c r="A164" s="11">
        <f>Returns!A164</f>
        <v>0</v>
      </c>
      <c r="B164" s="1">
        <f>MAX(AVERAGE(Portfolios!$B$2:$B$252)-Portfolios!B164, 0)</f>
        <v>0</v>
      </c>
    </row>
    <row r="165" spans="1:2">
      <c r="A165" s="11">
        <f>Returns!A165</f>
        <v>0</v>
      </c>
      <c r="B165" s="1">
        <f>MAX(AVERAGE(Portfolios!$B$2:$B$252)-Portfolios!B165, 0)</f>
        <v>0</v>
      </c>
    </row>
    <row r="166" spans="1:2">
      <c r="A166" s="11">
        <f>Returns!A166</f>
        <v>0</v>
      </c>
      <c r="B166" s="1">
        <f>MAX(AVERAGE(Portfolios!$B$2:$B$252)-Portfolios!B166, 0)</f>
        <v>0</v>
      </c>
    </row>
    <row r="167" spans="1:2">
      <c r="A167" s="11">
        <f>Returns!A167</f>
        <v>0</v>
      </c>
      <c r="B167" s="1">
        <f>MAX(AVERAGE(Portfolios!$B$2:$B$252)-Portfolios!B167, 0)</f>
        <v>0</v>
      </c>
    </row>
    <row r="168" spans="1:2">
      <c r="A168" s="11">
        <f>Returns!A168</f>
        <v>0</v>
      </c>
      <c r="B168" s="1">
        <f>MAX(AVERAGE(Portfolios!$B$2:$B$252)-Portfolios!B168, 0)</f>
        <v>0</v>
      </c>
    </row>
    <row r="169" spans="1:2">
      <c r="A169" s="11">
        <f>Returns!A169</f>
        <v>0</v>
      </c>
      <c r="B169" s="1">
        <f>MAX(AVERAGE(Portfolios!$B$2:$B$252)-Portfolios!B169, 0)</f>
        <v>0</v>
      </c>
    </row>
    <row r="170" spans="1:2">
      <c r="A170" s="11">
        <f>Returns!A170</f>
        <v>0</v>
      </c>
      <c r="B170" s="1">
        <f>MAX(AVERAGE(Portfolios!$B$2:$B$252)-Portfolios!B170, 0)</f>
        <v>0</v>
      </c>
    </row>
    <row r="171" spans="1:2">
      <c r="A171" s="11">
        <f>Returns!A171</f>
        <v>0</v>
      </c>
      <c r="B171" s="1">
        <f>MAX(AVERAGE(Portfolios!$B$2:$B$252)-Portfolios!B171, 0)</f>
        <v>0</v>
      </c>
    </row>
    <row r="172" spans="1:2">
      <c r="A172" s="11">
        <f>Returns!A172</f>
        <v>0</v>
      </c>
      <c r="B172" s="1">
        <f>MAX(AVERAGE(Portfolios!$B$2:$B$252)-Portfolios!B172, 0)</f>
        <v>0</v>
      </c>
    </row>
    <row r="173" spans="1:2">
      <c r="A173" s="11">
        <f>Returns!A173</f>
        <v>0</v>
      </c>
      <c r="B173" s="1">
        <f>MAX(AVERAGE(Portfolios!$B$2:$B$252)-Portfolios!B173, 0)</f>
        <v>0</v>
      </c>
    </row>
    <row r="174" spans="1:2">
      <c r="A174" s="11">
        <f>Returns!A174</f>
        <v>0</v>
      </c>
      <c r="B174" s="1">
        <f>MAX(AVERAGE(Portfolios!$B$2:$B$252)-Portfolios!B174, 0)</f>
        <v>0</v>
      </c>
    </row>
    <row r="175" spans="1:2">
      <c r="A175" s="11">
        <f>Returns!A175</f>
        <v>0</v>
      </c>
      <c r="B175" s="1">
        <f>MAX(AVERAGE(Portfolios!$B$2:$B$252)-Portfolios!B175, 0)</f>
        <v>0</v>
      </c>
    </row>
    <row r="176" spans="1:2">
      <c r="A176" s="11">
        <f>Returns!A176</f>
        <v>0</v>
      </c>
      <c r="B176" s="1">
        <f>MAX(AVERAGE(Portfolios!$B$2:$B$252)-Portfolios!B176, 0)</f>
        <v>0</v>
      </c>
    </row>
    <row r="177" spans="1:2">
      <c r="A177" s="11">
        <f>Returns!A177</f>
        <v>0</v>
      </c>
      <c r="B177" s="1">
        <f>MAX(AVERAGE(Portfolios!$B$2:$B$252)-Portfolios!B177, 0)</f>
        <v>0</v>
      </c>
    </row>
    <row r="178" spans="1:2">
      <c r="A178" s="11">
        <f>Returns!A178</f>
        <v>0</v>
      </c>
      <c r="B178" s="1">
        <f>MAX(AVERAGE(Portfolios!$B$2:$B$252)-Portfolios!B178, 0)</f>
        <v>0</v>
      </c>
    </row>
    <row r="179" spans="1:2">
      <c r="A179" s="11">
        <f>Returns!A179</f>
        <v>0</v>
      </c>
      <c r="B179" s="1">
        <f>MAX(AVERAGE(Portfolios!$B$2:$B$252)-Portfolios!B179, 0)</f>
        <v>0</v>
      </c>
    </row>
    <row r="180" spans="1:2">
      <c r="A180" s="11">
        <f>Returns!A180</f>
        <v>0</v>
      </c>
      <c r="B180" s="1">
        <f>MAX(AVERAGE(Portfolios!$B$2:$B$252)-Portfolios!B180, 0)</f>
        <v>0</v>
      </c>
    </row>
    <row r="181" spans="1:2">
      <c r="A181" s="11">
        <f>Returns!A181</f>
        <v>0</v>
      </c>
      <c r="B181" s="1">
        <f>MAX(AVERAGE(Portfolios!$B$2:$B$252)-Portfolios!B181, 0)</f>
        <v>0</v>
      </c>
    </row>
    <row r="182" spans="1:2">
      <c r="A182" s="11">
        <f>Returns!A182</f>
        <v>0</v>
      </c>
      <c r="B182" s="1">
        <f>MAX(AVERAGE(Portfolios!$B$2:$B$252)-Portfolios!B182, 0)</f>
        <v>0</v>
      </c>
    </row>
    <row r="183" spans="1:2">
      <c r="A183" s="11">
        <f>Returns!A183</f>
        <v>0</v>
      </c>
      <c r="B183" s="1">
        <f>MAX(AVERAGE(Portfolios!$B$2:$B$252)-Portfolios!B183, 0)</f>
        <v>0</v>
      </c>
    </row>
    <row r="184" spans="1:2">
      <c r="A184" s="11">
        <f>Returns!A184</f>
        <v>0</v>
      </c>
      <c r="B184" s="1">
        <f>MAX(AVERAGE(Portfolios!$B$2:$B$252)-Portfolios!B184, 0)</f>
        <v>0</v>
      </c>
    </row>
    <row r="185" spans="1:2">
      <c r="A185" s="11">
        <f>Returns!A185</f>
        <v>0</v>
      </c>
      <c r="B185" s="1">
        <f>MAX(AVERAGE(Portfolios!$B$2:$B$252)-Portfolios!B185, 0)</f>
        <v>0</v>
      </c>
    </row>
    <row r="186" spans="1:2">
      <c r="A186" s="11">
        <f>Returns!A186</f>
        <v>0</v>
      </c>
      <c r="B186" s="1">
        <f>MAX(AVERAGE(Portfolios!$B$2:$B$252)-Portfolios!B186, 0)</f>
        <v>0</v>
      </c>
    </row>
    <row r="187" spans="1:2">
      <c r="A187" s="11">
        <f>Returns!A187</f>
        <v>0</v>
      </c>
      <c r="B187" s="1">
        <f>MAX(AVERAGE(Portfolios!$B$2:$B$252)-Portfolios!B187, 0)</f>
        <v>0</v>
      </c>
    </row>
    <row r="188" spans="1:2">
      <c r="A188" s="11">
        <f>Returns!A188</f>
        <v>0</v>
      </c>
      <c r="B188" s="1">
        <f>MAX(AVERAGE(Portfolios!$B$2:$B$252)-Portfolios!B188, 0)</f>
        <v>0</v>
      </c>
    </row>
    <row r="189" spans="1:2">
      <c r="A189" s="11">
        <f>Returns!A189</f>
        <v>0</v>
      </c>
      <c r="B189" s="1">
        <f>MAX(AVERAGE(Portfolios!$B$2:$B$252)-Portfolios!B189, 0)</f>
        <v>0</v>
      </c>
    </row>
    <row r="190" spans="1:2">
      <c r="A190" s="11">
        <f>Returns!A190</f>
        <v>0</v>
      </c>
      <c r="B190" s="1">
        <f>MAX(AVERAGE(Portfolios!$B$2:$B$252)-Portfolios!B190, 0)</f>
        <v>0</v>
      </c>
    </row>
    <row r="191" spans="1:2">
      <c r="A191" s="11">
        <f>Returns!A191</f>
        <v>0</v>
      </c>
      <c r="B191" s="1">
        <f>MAX(AVERAGE(Portfolios!$B$2:$B$252)-Portfolios!B191, 0)</f>
        <v>0</v>
      </c>
    </row>
    <row r="192" spans="1:2">
      <c r="A192" s="11">
        <f>Returns!A192</f>
        <v>0</v>
      </c>
      <c r="B192" s="1">
        <f>MAX(AVERAGE(Portfolios!$B$2:$B$252)-Portfolios!B192, 0)</f>
        <v>0</v>
      </c>
    </row>
    <row r="193" spans="1:2">
      <c r="A193" s="11">
        <f>Returns!A193</f>
        <v>0</v>
      </c>
      <c r="B193" s="1">
        <f>MAX(AVERAGE(Portfolios!$B$2:$B$252)-Portfolios!B193, 0)</f>
        <v>0</v>
      </c>
    </row>
    <row r="194" spans="1:2">
      <c r="A194" s="11">
        <f>Returns!A194</f>
        <v>0</v>
      </c>
      <c r="B194" s="1">
        <f>MAX(AVERAGE(Portfolios!$B$2:$B$252)-Portfolios!B194, 0)</f>
        <v>0</v>
      </c>
    </row>
    <row r="195" spans="1:2">
      <c r="A195" s="11">
        <f>Returns!A195</f>
        <v>0</v>
      </c>
      <c r="B195" s="1">
        <f>MAX(AVERAGE(Portfolios!$B$2:$B$252)-Portfolios!B195, 0)</f>
        <v>0</v>
      </c>
    </row>
    <row r="196" spans="1:2">
      <c r="A196" s="11">
        <f>Returns!A196</f>
        <v>0</v>
      </c>
      <c r="B196" s="1">
        <f>MAX(AVERAGE(Portfolios!$B$2:$B$252)-Portfolios!B196, 0)</f>
        <v>0</v>
      </c>
    </row>
    <row r="197" spans="1:2">
      <c r="A197" s="11">
        <f>Returns!A197</f>
        <v>0</v>
      </c>
      <c r="B197" s="1">
        <f>MAX(AVERAGE(Portfolios!$B$2:$B$252)-Portfolios!B197, 0)</f>
        <v>0</v>
      </c>
    </row>
    <row r="198" spans="1:2">
      <c r="A198" s="11">
        <f>Returns!A198</f>
        <v>0</v>
      </c>
      <c r="B198" s="1">
        <f>MAX(AVERAGE(Portfolios!$B$2:$B$252)-Portfolios!B198, 0)</f>
        <v>0</v>
      </c>
    </row>
    <row r="199" spans="1:2">
      <c r="A199" s="11">
        <f>Returns!A199</f>
        <v>0</v>
      </c>
      <c r="B199" s="1">
        <f>MAX(AVERAGE(Portfolios!$B$2:$B$252)-Portfolios!B199, 0)</f>
        <v>0</v>
      </c>
    </row>
    <row r="200" spans="1:2">
      <c r="A200" s="11">
        <f>Returns!A200</f>
        <v>0</v>
      </c>
      <c r="B200" s="1">
        <f>MAX(AVERAGE(Portfolios!$B$2:$B$252)-Portfolios!B200, 0)</f>
        <v>0</v>
      </c>
    </row>
    <row r="201" spans="1:2">
      <c r="A201" s="11">
        <f>Returns!A201</f>
        <v>0</v>
      </c>
      <c r="B201" s="1">
        <f>MAX(AVERAGE(Portfolios!$B$2:$B$252)-Portfolios!B201, 0)</f>
        <v>0</v>
      </c>
    </row>
    <row r="202" spans="1:2">
      <c r="A202" s="11">
        <f>Returns!A202</f>
        <v>0</v>
      </c>
      <c r="B202" s="1">
        <f>MAX(AVERAGE(Portfolios!$B$2:$B$252)-Portfolios!B202, 0)</f>
        <v>0</v>
      </c>
    </row>
    <row r="203" spans="1:2">
      <c r="A203" s="11">
        <f>Returns!A203</f>
        <v>0</v>
      </c>
      <c r="B203" s="1">
        <f>MAX(AVERAGE(Portfolios!$B$2:$B$252)-Portfolios!B203, 0)</f>
        <v>0</v>
      </c>
    </row>
    <row r="204" spans="1:2">
      <c r="A204" s="11">
        <f>Returns!A204</f>
        <v>0</v>
      </c>
      <c r="B204" s="1">
        <f>MAX(AVERAGE(Portfolios!$B$2:$B$252)-Portfolios!B204, 0)</f>
        <v>0</v>
      </c>
    </row>
    <row r="205" spans="1:2">
      <c r="A205" s="11">
        <f>Returns!A205</f>
        <v>0</v>
      </c>
      <c r="B205" s="1">
        <f>MAX(AVERAGE(Portfolios!$B$2:$B$252)-Portfolios!B205, 0)</f>
        <v>0</v>
      </c>
    </row>
    <row r="206" spans="1:2">
      <c r="A206" s="11">
        <f>Returns!A206</f>
        <v>0</v>
      </c>
      <c r="B206" s="1">
        <f>MAX(AVERAGE(Portfolios!$B$2:$B$252)-Portfolios!B206, 0)</f>
        <v>0</v>
      </c>
    </row>
    <row r="207" spans="1:2">
      <c r="A207" s="11">
        <f>Returns!A207</f>
        <v>0</v>
      </c>
      <c r="B207" s="1">
        <f>MAX(AVERAGE(Portfolios!$B$2:$B$252)-Portfolios!B207, 0)</f>
        <v>0</v>
      </c>
    </row>
    <row r="208" spans="1:2">
      <c r="A208" s="11">
        <f>Returns!A208</f>
        <v>0</v>
      </c>
      <c r="B208" s="1">
        <f>MAX(AVERAGE(Portfolios!$B$2:$B$252)-Portfolios!B208, 0)</f>
        <v>0</v>
      </c>
    </row>
    <row r="209" spans="1:2">
      <c r="A209" s="11">
        <f>Returns!A209</f>
        <v>0</v>
      </c>
      <c r="B209" s="1">
        <f>MAX(AVERAGE(Portfolios!$B$2:$B$252)-Portfolios!B209, 0)</f>
        <v>0</v>
      </c>
    </row>
    <row r="210" spans="1:2">
      <c r="A210" s="11">
        <f>Returns!A210</f>
        <v>0</v>
      </c>
      <c r="B210" s="1">
        <f>MAX(AVERAGE(Portfolios!$B$2:$B$252)-Portfolios!B210, 0)</f>
        <v>0</v>
      </c>
    </row>
    <row r="211" spans="1:2">
      <c r="A211" s="11">
        <f>Returns!A211</f>
        <v>0</v>
      </c>
      <c r="B211" s="1">
        <f>MAX(AVERAGE(Portfolios!$B$2:$B$252)-Portfolios!B211, 0)</f>
        <v>0</v>
      </c>
    </row>
    <row r="212" spans="1:2">
      <c r="A212" s="11">
        <f>Returns!A212</f>
        <v>0</v>
      </c>
      <c r="B212" s="1">
        <f>MAX(AVERAGE(Portfolios!$B$2:$B$252)-Portfolios!B212, 0)</f>
        <v>0</v>
      </c>
    </row>
    <row r="213" spans="1:2">
      <c r="A213" s="11">
        <f>Returns!A213</f>
        <v>0</v>
      </c>
      <c r="B213" s="1">
        <f>MAX(AVERAGE(Portfolios!$B$2:$B$252)-Portfolios!B213, 0)</f>
        <v>0</v>
      </c>
    </row>
    <row r="214" spans="1:2">
      <c r="A214" s="11">
        <f>Returns!A214</f>
        <v>0</v>
      </c>
      <c r="B214" s="1">
        <f>MAX(AVERAGE(Portfolios!$B$2:$B$252)-Portfolios!B214, 0)</f>
        <v>0</v>
      </c>
    </row>
    <row r="215" spans="1:2">
      <c r="A215" s="11">
        <f>Returns!A215</f>
        <v>0</v>
      </c>
      <c r="B215" s="1">
        <f>MAX(AVERAGE(Portfolios!$B$2:$B$252)-Portfolios!B215, 0)</f>
        <v>0</v>
      </c>
    </row>
    <row r="216" spans="1:2">
      <c r="A216" s="11">
        <f>Returns!A216</f>
        <v>0</v>
      </c>
      <c r="B216" s="1">
        <f>MAX(AVERAGE(Portfolios!$B$2:$B$252)-Portfolios!B216, 0)</f>
        <v>0</v>
      </c>
    </row>
    <row r="217" spans="1:2">
      <c r="A217" s="11">
        <f>Returns!A217</f>
        <v>0</v>
      </c>
      <c r="B217" s="1">
        <f>MAX(AVERAGE(Portfolios!$B$2:$B$252)-Portfolios!B217, 0)</f>
        <v>0</v>
      </c>
    </row>
    <row r="218" spans="1:2">
      <c r="A218" s="11">
        <f>Returns!A218</f>
        <v>0</v>
      </c>
      <c r="B218" s="1">
        <f>MAX(AVERAGE(Portfolios!$B$2:$B$252)-Portfolios!B218, 0)</f>
        <v>0</v>
      </c>
    </row>
    <row r="219" spans="1:2">
      <c r="A219" s="11">
        <f>Returns!A219</f>
        <v>0</v>
      </c>
      <c r="B219" s="1">
        <f>MAX(AVERAGE(Portfolios!$B$2:$B$252)-Portfolios!B219, 0)</f>
        <v>0</v>
      </c>
    </row>
    <row r="220" spans="1:2">
      <c r="A220" s="11">
        <f>Returns!A220</f>
        <v>0</v>
      </c>
      <c r="B220" s="1">
        <f>MAX(AVERAGE(Portfolios!$B$2:$B$252)-Portfolios!B220, 0)</f>
        <v>0</v>
      </c>
    </row>
    <row r="221" spans="1:2">
      <c r="A221" s="11">
        <f>Returns!A221</f>
        <v>0</v>
      </c>
      <c r="B221" s="1">
        <f>MAX(AVERAGE(Portfolios!$B$2:$B$252)-Portfolios!B221, 0)</f>
        <v>0</v>
      </c>
    </row>
    <row r="222" spans="1:2">
      <c r="A222" s="11">
        <f>Returns!A222</f>
        <v>0</v>
      </c>
      <c r="B222" s="1">
        <f>MAX(AVERAGE(Portfolios!$B$2:$B$252)-Portfolios!B222, 0)</f>
        <v>0</v>
      </c>
    </row>
    <row r="223" spans="1:2">
      <c r="A223" s="11">
        <f>Returns!A223</f>
        <v>0</v>
      </c>
      <c r="B223" s="1">
        <f>MAX(AVERAGE(Portfolios!$B$2:$B$252)-Portfolios!B223, 0)</f>
        <v>0</v>
      </c>
    </row>
    <row r="224" spans="1:2">
      <c r="A224" s="11">
        <f>Returns!A224</f>
        <v>0</v>
      </c>
      <c r="B224" s="1">
        <f>MAX(AVERAGE(Portfolios!$B$2:$B$252)-Portfolios!B224, 0)</f>
        <v>0</v>
      </c>
    </row>
    <row r="225" spans="1:2">
      <c r="A225" s="11">
        <f>Returns!A225</f>
        <v>0</v>
      </c>
      <c r="B225" s="1">
        <f>MAX(AVERAGE(Portfolios!$B$2:$B$252)-Portfolios!B225, 0)</f>
        <v>0</v>
      </c>
    </row>
    <row r="226" spans="1:2">
      <c r="A226" s="11">
        <f>Returns!A226</f>
        <v>0</v>
      </c>
      <c r="B226" s="1">
        <f>MAX(AVERAGE(Portfolios!$B$2:$B$252)-Portfolios!B226, 0)</f>
        <v>0</v>
      </c>
    </row>
    <row r="227" spans="1:2">
      <c r="A227" s="11">
        <f>Returns!A227</f>
        <v>0</v>
      </c>
      <c r="B227" s="1">
        <f>MAX(AVERAGE(Portfolios!$B$2:$B$252)-Portfolios!B227, 0)</f>
        <v>0</v>
      </c>
    </row>
    <row r="228" spans="1:2">
      <c r="A228" s="11">
        <f>Returns!A228</f>
        <v>0</v>
      </c>
      <c r="B228" s="1">
        <f>MAX(AVERAGE(Portfolios!$B$2:$B$252)-Portfolios!B228, 0)</f>
        <v>0</v>
      </c>
    </row>
    <row r="229" spans="1:2">
      <c r="A229" s="11">
        <f>Returns!A229</f>
        <v>0</v>
      </c>
      <c r="B229" s="1">
        <f>MAX(AVERAGE(Portfolios!$B$2:$B$252)-Portfolios!B229, 0)</f>
        <v>0</v>
      </c>
    </row>
    <row r="230" spans="1:2">
      <c r="A230" s="11">
        <f>Returns!A230</f>
        <v>0</v>
      </c>
      <c r="B230" s="1">
        <f>MAX(AVERAGE(Portfolios!$B$2:$B$252)-Portfolios!B230, 0)</f>
        <v>0</v>
      </c>
    </row>
    <row r="231" spans="1:2">
      <c r="A231" s="11">
        <f>Returns!A231</f>
        <v>0</v>
      </c>
      <c r="B231" s="1">
        <f>MAX(AVERAGE(Portfolios!$B$2:$B$252)-Portfolios!B231, 0)</f>
        <v>0</v>
      </c>
    </row>
    <row r="232" spans="1:2">
      <c r="A232" s="11">
        <f>Returns!A232</f>
        <v>0</v>
      </c>
      <c r="B232" s="1">
        <f>MAX(AVERAGE(Portfolios!$B$2:$B$252)-Portfolios!B232, 0)</f>
        <v>0</v>
      </c>
    </row>
    <row r="233" spans="1:2">
      <c r="A233" s="11">
        <f>Returns!A233</f>
        <v>0</v>
      </c>
      <c r="B233" s="1">
        <f>MAX(AVERAGE(Portfolios!$B$2:$B$252)-Portfolios!B233, 0)</f>
        <v>0</v>
      </c>
    </row>
    <row r="234" spans="1:2">
      <c r="A234" s="11">
        <f>Returns!A234</f>
        <v>0</v>
      </c>
      <c r="B234" s="1">
        <f>MAX(AVERAGE(Portfolios!$B$2:$B$252)-Portfolios!B234, 0)</f>
        <v>0</v>
      </c>
    </row>
    <row r="235" spans="1:2">
      <c r="A235" s="11">
        <f>Returns!A235</f>
        <v>0</v>
      </c>
      <c r="B235" s="1">
        <f>MAX(AVERAGE(Portfolios!$B$2:$B$252)-Portfolios!B235, 0)</f>
        <v>0</v>
      </c>
    </row>
    <row r="236" spans="1:2">
      <c r="A236" s="11">
        <f>Returns!A236</f>
        <v>0</v>
      </c>
      <c r="B236" s="1">
        <f>MAX(AVERAGE(Portfolios!$B$2:$B$252)-Portfolios!B236, 0)</f>
        <v>0</v>
      </c>
    </row>
    <row r="237" spans="1:2">
      <c r="A237" s="11">
        <f>Returns!A237</f>
        <v>0</v>
      </c>
      <c r="B237" s="1">
        <f>MAX(AVERAGE(Portfolios!$B$2:$B$252)-Portfolios!B237, 0)</f>
        <v>0</v>
      </c>
    </row>
    <row r="238" spans="1:2">
      <c r="A238" s="11">
        <f>Returns!A238</f>
        <v>0</v>
      </c>
      <c r="B238" s="1">
        <f>MAX(AVERAGE(Portfolios!$B$2:$B$252)-Portfolios!B238, 0)</f>
        <v>0</v>
      </c>
    </row>
    <row r="239" spans="1:2">
      <c r="A239" s="11">
        <f>Returns!A239</f>
        <v>0</v>
      </c>
      <c r="B239" s="1">
        <f>MAX(AVERAGE(Portfolios!$B$2:$B$252)-Portfolios!B239, 0)</f>
        <v>0</v>
      </c>
    </row>
    <row r="240" spans="1:2">
      <c r="A240" s="11">
        <f>Returns!A240</f>
        <v>0</v>
      </c>
      <c r="B240" s="1">
        <f>MAX(AVERAGE(Portfolios!$B$2:$B$252)-Portfolios!B240, 0)</f>
        <v>0</v>
      </c>
    </row>
    <row r="241" spans="1:2">
      <c r="A241" s="11">
        <f>Returns!A241</f>
        <v>0</v>
      </c>
      <c r="B241" s="1">
        <f>MAX(AVERAGE(Portfolios!$B$2:$B$252)-Portfolios!B241, 0)</f>
        <v>0</v>
      </c>
    </row>
    <row r="242" spans="1:2">
      <c r="A242" s="11">
        <f>Returns!A242</f>
        <v>0</v>
      </c>
      <c r="B242" s="1">
        <f>MAX(AVERAGE(Portfolios!$B$2:$B$252)-Portfolios!B242, 0)</f>
        <v>0</v>
      </c>
    </row>
    <row r="243" spans="1:2">
      <c r="A243" s="11">
        <f>Returns!A243</f>
        <v>0</v>
      </c>
      <c r="B243" s="1">
        <f>MAX(AVERAGE(Portfolios!$B$2:$B$252)-Portfolios!B243, 0)</f>
        <v>0</v>
      </c>
    </row>
    <row r="244" spans="1:2">
      <c r="A244" s="11">
        <f>Returns!A244</f>
        <v>0</v>
      </c>
      <c r="B244" s="1">
        <f>MAX(AVERAGE(Portfolios!$B$2:$B$252)-Portfolios!B244, 0)</f>
        <v>0</v>
      </c>
    </row>
    <row r="245" spans="1:2">
      <c r="A245" s="11">
        <f>Returns!A245</f>
        <v>0</v>
      </c>
      <c r="B245" s="1">
        <f>MAX(AVERAGE(Portfolios!$B$2:$B$252)-Portfolios!B245, 0)</f>
        <v>0</v>
      </c>
    </row>
    <row r="246" spans="1:2">
      <c r="A246" s="11">
        <f>Returns!A246</f>
        <v>0</v>
      </c>
      <c r="B246" s="1">
        <f>MAX(AVERAGE(Portfolios!$B$2:$B$252)-Portfolios!B246, 0)</f>
        <v>0</v>
      </c>
    </row>
    <row r="247" spans="1:2">
      <c r="A247" s="11">
        <f>Returns!A247</f>
        <v>0</v>
      </c>
      <c r="B247" s="1">
        <f>MAX(AVERAGE(Portfolios!$B$2:$B$252)-Portfolios!B247, 0)</f>
        <v>0</v>
      </c>
    </row>
    <row r="248" spans="1:2">
      <c r="A248" s="11">
        <f>Returns!A248</f>
        <v>0</v>
      </c>
      <c r="B248" s="1">
        <f>MAX(AVERAGE(Portfolios!$B$2:$B$252)-Portfolios!B248, 0)</f>
        <v>0</v>
      </c>
    </row>
    <row r="249" spans="1:2">
      <c r="A249" s="11">
        <f>Returns!A249</f>
        <v>0</v>
      </c>
      <c r="B249" s="1">
        <f>MAX(AVERAGE(Portfolios!$B$2:$B$252)-Portfolios!B249, 0)</f>
        <v>0</v>
      </c>
    </row>
    <row r="250" spans="1:2">
      <c r="A250" s="11">
        <f>Returns!A250</f>
        <v>0</v>
      </c>
      <c r="B250" s="1">
        <f>MAX(AVERAGE(Portfolios!$B$2:$B$252)-Portfolios!B250, 0)</f>
        <v>0</v>
      </c>
    </row>
    <row r="251" spans="1:2">
      <c r="A251" s="11">
        <f>Returns!A251</f>
        <v>0</v>
      </c>
      <c r="B251" s="1">
        <f>MAX(AVERAGE(Portfolios!$B$2:$B$252)-Portfolios!B251, 0)</f>
        <v>0</v>
      </c>
    </row>
    <row r="252" spans="1:2">
      <c r="A252" s="11">
        <f>Returns!A252</f>
        <v>0</v>
      </c>
      <c r="B252" s="1">
        <f>MAX(AVERAGE(Portfolios!$B$2:$B$252)-Portfolios!B252, 0)</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Resume</vt:lpstr>
      <vt:lpstr>Returns</vt:lpstr>
      <vt:lpstr>Portfolios</vt:lpstr>
      <vt:lpstr>Absdev</vt:lpstr>
      <vt:lpstr>CumRet</vt:lpstr>
      <vt:lpstr>Drawdown</vt:lpstr>
      <vt:lpstr>devBelowTarget</vt:lpstr>
      <vt:lpstr>devBelowMean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2025-02-13T16:17:11Z</dcterms:created>
  <dcterms:modified xsi:type="dcterms:W3CDTF">2025-02-13T16:17:11Z</dcterms:modified>
</cp:coreProperties>
</file>